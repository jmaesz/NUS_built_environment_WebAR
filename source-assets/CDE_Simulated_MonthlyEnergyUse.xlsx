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BF948852-5191-4E8B-9244-D9CFCB876E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1_L_L" sheetId="2" r:id="rId1"/>
    <sheet name="A1_M_L" sheetId="3" r:id="rId2"/>
    <sheet name="A1_H_L" sheetId="4" r:id="rId3"/>
    <sheet name="A5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I3" i="1"/>
  <c r="I4" i="1"/>
  <c r="I5" i="1"/>
  <c r="I6" i="1"/>
  <c r="I7" i="1"/>
  <c r="I8" i="1"/>
  <c r="I9" i="1"/>
  <c r="I10" i="1"/>
  <c r="I11" i="1"/>
  <c r="I12" i="1"/>
  <c r="I13" i="1"/>
  <c r="H3" i="1"/>
  <c r="H4" i="1"/>
  <c r="H5" i="1"/>
  <c r="H6" i="1"/>
  <c r="H7" i="1"/>
  <c r="H8" i="1"/>
  <c r="H9" i="1"/>
  <c r="H10" i="1"/>
  <c r="H11" i="1"/>
  <c r="H12" i="1"/>
  <c r="H13" i="1"/>
  <c r="J2" i="1"/>
  <c r="I2" i="1"/>
  <c r="H2" i="1"/>
  <c r="J42" i="4"/>
  <c r="J43" i="4"/>
  <c r="J44" i="4"/>
  <c r="J45" i="4"/>
  <c r="J46" i="4"/>
  <c r="J47" i="4"/>
  <c r="J48" i="4"/>
  <c r="J49" i="4"/>
  <c r="J50" i="4"/>
  <c r="J51" i="4"/>
  <c r="J52" i="4"/>
  <c r="I42" i="4"/>
  <c r="I43" i="4"/>
  <c r="I44" i="4"/>
  <c r="I45" i="4"/>
  <c r="I46" i="4"/>
  <c r="I47" i="4"/>
  <c r="I48" i="4"/>
  <c r="I49" i="4"/>
  <c r="I50" i="4"/>
  <c r="I51" i="4"/>
  <c r="I52" i="4"/>
  <c r="H42" i="4"/>
  <c r="H43" i="4"/>
  <c r="H44" i="4"/>
  <c r="H45" i="4"/>
  <c r="H46" i="4"/>
  <c r="H47" i="4"/>
  <c r="H48" i="4"/>
  <c r="H49" i="4"/>
  <c r="H50" i="4"/>
  <c r="H51" i="4"/>
  <c r="H52" i="4"/>
  <c r="J29" i="4"/>
  <c r="J30" i="4"/>
  <c r="J31" i="4"/>
  <c r="J32" i="4"/>
  <c r="J33" i="4"/>
  <c r="J34" i="4"/>
  <c r="J35" i="4"/>
  <c r="J36" i="4"/>
  <c r="J37" i="4"/>
  <c r="J38" i="4"/>
  <c r="J39" i="4"/>
  <c r="I29" i="4"/>
  <c r="I30" i="4"/>
  <c r="I31" i="4"/>
  <c r="I32" i="4"/>
  <c r="I33" i="4"/>
  <c r="I34" i="4"/>
  <c r="I35" i="4"/>
  <c r="I36" i="4"/>
  <c r="I37" i="4"/>
  <c r="I38" i="4"/>
  <c r="I39" i="4"/>
  <c r="H29" i="4"/>
  <c r="H30" i="4"/>
  <c r="H31" i="4"/>
  <c r="H32" i="4"/>
  <c r="H33" i="4"/>
  <c r="H34" i="4"/>
  <c r="H35" i="4"/>
  <c r="H36" i="4"/>
  <c r="H37" i="4"/>
  <c r="H38" i="4"/>
  <c r="H39" i="4"/>
  <c r="J16" i="4"/>
  <c r="J17" i="4"/>
  <c r="J18" i="4"/>
  <c r="J19" i="4"/>
  <c r="J20" i="4"/>
  <c r="J21" i="4"/>
  <c r="J22" i="4"/>
  <c r="J23" i="4"/>
  <c r="J24" i="4"/>
  <c r="J25" i="4"/>
  <c r="J26" i="4"/>
  <c r="I16" i="4"/>
  <c r="I17" i="4"/>
  <c r="I18" i="4"/>
  <c r="I19" i="4"/>
  <c r="I20" i="4"/>
  <c r="I21" i="4"/>
  <c r="I22" i="4"/>
  <c r="I23" i="4"/>
  <c r="I24" i="4"/>
  <c r="I25" i="4"/>
  <c r="I26" i="4"/>
  <c r="H16" i="4"/>
  <c r="H17" i="4"/>
  <c r="H18" i="4"/>
  <c r="H19" i="4"/>
  <c r="H20" i="4"/>
  <c r="H21" i="4"/>
  <c r="H22" i="4"/>
  <c r="H23" i="4"/>
  <c r="H24" i="4"/>
  <c r="H25" i="4"/>
  <c r="H26" i="4"/>
  <c r="J3" i="4"/>
  <c r="J4" i="4"/>
  <c r="J5" i="4"/>
  <c r="J6" i="4"/>
  <c r="J7" i="4"/>
  <c r="J8" i="4"/>
  <c r="J9" i="4"/>
  <c r="J10" i="4"/>
  <c r="J11" i="4"/>
  <c r="J12" i="4"/>
  <c r="J13" i="4"/>
  <c r="I3" i="4"/>
  <c r="I4" i="4"/>
  <c r="I5" i="4"/>
  <c r="I6" i="4"/>
  <c r="I7" i="4"/>
  <c r="I8" i="4"/>
  <c r="I9" i="4"/>
  <c r="I10" i="4"/>
  <c r="I11" i="4"/>
  <c r="I12" i="4"/>
  <c r="I13" i="4"/>
  <c r="H3" i="4"/>
  <c r="H4" i="4"/>
  <c r="H5" i="4"/>
  <c r="H6" i="4"/>
  <c r="H7" i="4"/>
  <c r="H8" i="4"/>
  <c r="H9" i="4"/>
  <c r="H10" i="4"/>
  <c r="H11" i="4"/>
  <c r="H12" i="4"/>
  <c r="H13" i="4"/>
  <c r="I2" i="4"/>
  <c r="J41" i="4"/>
  <c r="I41" i="4"/>
  <c r="H41" i="4"/>
  <c r="J28" i="4"/>
  <c r="I28" i="4"/>
  <c r="H28" i="4"/>
  <c r="J15" i="4"/>
  <c r="I15" i="4"/>
  <c r="H15" i="4"/>
  <c r="J2" i="4"/>
  <c r="H2" i="4"/>
  <c r="J81" i="3"/>
  <c r="J82" i="3"/>
  <c r="J83" i="3"/>
  <c r="J84" i="3"/>
  <c r="J85" i="3"/>
  <c r="J86" i="3"/>
  <c r="J87" i="3"/>
  <c r="J88" i="3"/>
  <c r="J89" i="3"/>
  <c r="J90" i="3"/>
  <c r="J91" i="3"/>
  <c r="I81" i="3"/>
  <c r="I82" i="3"/>
  <c r="I83" i="3"/>
  <c r="I84" i="3"/>
  <c r="I85" i="3"/>
  <c r="I86" i="3"/>
  <c r="I87" i="3"/>
  <c r="I88" i="3"/>
  <c r="I89" i="3"/>
  <c r="I90" i="3"/>
  <c r="I91" i="3"/>
  <c r="H81" i="3"/>
  <c r="H82" i="3"/>
  <c r="H83" i="3"/>
  <c r="H84" i="3"/>
  <c r="H85" i="3"/>
  <c r="H86" i="3"/>
  <c r="H87" i="3"/>
  <c r="H88" i="3"/>
  <c r="H89" i="3"/>
  <c r="H90" i="3"/>
  <c r="H91" i="3"/>
  <c r="J68" i="3"/>
  <c r="J69" i="3"/>
  <c r="J70" i="3"/>
  <c r="J71" i="3"/>
  <c r="J72" i="3"/>
  <c r="J73" i="3"/>
  <c r="J74" i="3"/>
  <c r="J75" i="3"/>
  <c r="J76" i="3"/>
  <c r="J77" i="3"/>
  <c r="J78" i="3"/>
  <c r="I68" i="3"/>
  <c r="I69" i="3"/>
  <c r="I70" i="3"/>
  <c r="I71" i="3"/>
  <c r="I72" i="3"/>
  <c r="I73" i="3"/>
  <c r="I74" i="3"/>
  <c r="I75" i="3"/>
  <c r="I76" i="3"/>
  <c r="I77" i="3"/>
  <c r="I78" i="3"/>
  <c r="H68" i="3"/>
  <c r="H69" i="3"/>
  <c r="H70" i="3"/>
  <c r="H71" i="3"/>
  <c r="H72" i="3"/>
  <c r="H73" i="3"/>
  <c r="H74" i="3"/>
  <c r="H75" i="3"/>
  <c r="H76" i="3"/>
  <c r="H77" i="3"/>
  <c r="H78" i="3"/>
  <c r="J55" i="3"/>
  <c r="J56" i="3"/>
  <c r="J57" i="3"/>
  <c r="J58" i="3"/>
  <c r="J59" i="3"/>
  <c r="J60" i="3"/>
  <c r="J61" i="3"/>
  <c r="J62" i="3"/>
  <c r="J63" i="3"/>
  <c r="J64" i="3"/>
  <c r="J65" i="3"/>
  <c r="I55" i="3"/>
  <c r="I56" i="3"/>
  <c r="I57" i="3"/>
  <c r="I58" i="3"/>
  <c r="I59" i="3"/>
  <c r="I60" i="3"/>
  <c r="I61" i="3"/>
  <c r="I62" i="3"/>
  <c r="I63" i="3"/>
  <c r="I64" i="3"/>
  <c r="I65" i="3"/>
  <c r="H55" i="3"/>
  <c r="H56" i="3"/>
  <c r="H57" i="3"/>
  <c r="H58" i="3"/>
  <c r="H59" i="3"/>
  <c r="H60" i="3"/>
  <c r="H61" i="3"/>
  <c r="H62" i="3"/>
  <c r="H63" i="3"/>
  <c r="H64" i="3"/>
  <c r="H65" i="3"/>
  <c r="J42" i="3"/>
  <c r="J43" i="3"/>
  <c r="J44" i="3"/>
  <c r="J45" i="3"/>
  <c r="J46" i="3"/>
  <c r="J47" i="3"/>
  <c r="J48" i="3"/>
  <c r="J49" i="3"/>
  <c r="J50" i="3"/>
  <c r="J51" i="3"/>
  <c r="J52" i="3"/>
  <c r="I42" i="3"/>
  <c r="I43" i="3"/>
  <c r="I44" i="3"/>
  <c r="I45" i="3"/>
  <c r="I46" i="3"/>
  <c r="I47" i="3"/>
  <c r="I48" i="3"/>
  <c r="I49" i="3"/>
  <c r="I50" i="3"/>
  <c r="I51" i="3"/>
  <c r="I52" i="3"/>
  <c r="H42" i="3"/>
  <c r="H43" i="3"/>
  <c r="H44" i="3"/>
  <c r="H45" i="3"/>
  <c r="H46" i="3"/>
  <c r="H47" i="3"/>
  <c r="H48" i="3"/>
  <c r="H49" i="3"/>
  <c r="H50" i="3"/>
  <c r="H51" i="3"/>
  <c r="H52" i="3"/>
  <c r="J29" i="3"/>
  <c r="J30" i="3"/>
  <c r="J31" i="3"/>
  <c r="J32" i="3"/>
  <c r="J33" i="3"/>
  <c r="J34" i="3"/>
  <c r="J35" i="3"/>
  <c r="J36" i="3"/>
  <c r="J37" i="3"/>
  <c r="J38" i="3"/>
  <c r="J39" i="3"/>
  <c r="I29" i="3"/>
  <c r="I30" i="3"/>
  <c r="I31" i="3"/>
  <c r="I32" i="3"/>
  <c r="I33" i="3"/>
  <c r="I34" i="3"/>
  <c r="I35" i="3"/>
  <c r="I36" i="3"/>
  <c r="I37" i="3"/>
  <c r="I38" i="3"/>
  <c r="I39" i="3"/>
  <c r="H29" i="3"/>
  <c r="H30" i="3"/>
  <c r="H31" i="3"/>
  <c r="H32" i="3"/>
  <c r="H33" i="3"/>
  <c r="H34" i="3"/>
  <c r="H35" i="3"/>
  <c r="H36" i="3"/>
  <c r="H37" i="3"/>
  <c r="H38" i="3"/>
  <c r="H39" i="3"/>
  <c r="J16" i="3"/>
  <c r="J17" i="3"/>
  <c r="J18" i="3"/>
  <c r="J19" i="3"/>
  <c r="J20" i="3"/>
  <c r="J21" i="3"/>
  <c r="J22" i="3"/>
  <c r="J23" i="3"/>
  <c r="J24" i="3"/>
  <c r="J25" i="3"/>
  <c r="J26" i="3"/>
  <c r="I16" i="3"/>
  <c r="I17" i="3"/>
  <c r="I18" i="3"/>
  <c r="I19" i="3"/>
  <c r="I20" i="3"/>
  <c r="I21" i="3"/>
  <c r="I22" i="3"/>
  <c r="I23" i="3"/>
  <c r="I24" i="3"/>
  <c r="I25" i="3"/>
  <c r="I26" i="3"/>
  <c r="H16" i="3"/>
  <c r="H17" i="3"/>
  <c r="H18" i="3"/>
  <c r="H19" i="3"/>
  <c r="H20" i="3"/>
  <c r="H21" i="3"/>
  <c r="H22" i="3"/>
  <c r="H23" i="3"/>
  <c r="H24" i="3"/>
  <c r="H25" i="3"/>
  <c r="H26" i="3"/>
  <c r="J3" i="3"/>
  <c r="J4" i="3"/>
  <c r="J5" i="3"/>
  <c r="J6" i="3"/>
  <c r="J7" i="3"/>
  <c r="J8" i="3"/>
  <c r="J9" i="3"/>
  <c r="J10" i="3"/>
  <c r="J11" i="3"/>
  <c r="J12" i="3"/>
  <c r="J13" i="3"/>
  <c r="I3" i="3"/>
  <c r="I4" i="3"/>
  <c r="I5" i="3"/>
  <c r="I6" i="3"/>
  <c r="I7" i="3"/>
  <c r="I8" i="3"/>
  <c r="I9" i="3"/>
  <c r="I10" i="3"/>
  <c r="I11" i="3"/>
  <c r="I12" i="3"/>
  <c r="I13" i="3"/>
  <c r="H3" i="3"/>
  <c r="H4" i="3"/>
  <c r="H5" i="3"/>
  <c r="H6" i="3"/>
  <c r="H7" i="3"/>
  <c r="H8" i="3"/>
  <c r="H9" i="3"/>
  <c r="H10" i="3"/>
  <c r="H11" i="3"/>
  <c r="H12" i="3"/>
  <c r="H13" i="3"/>
  <c r="J80" i="3"/>
  <c r="I80" i="3"/>
  <c r="H80" i="3"/>
  <c r="J67" i="3"/>
  <c r="I67" i="3"/>
  <c r="H67" i="3"/>
  <c r="J54" i="3"/>
  <c r="I54" i="3"/>
  <c r="H54" i="3"/>
  <c r="J41" i="3"/>
  <c r="I41" i="3"/>
  <c r="H41" i="3"/>
  <c r="J28" i="3"/>
  <c r="I28" i="3"/>
  <c r="H28" i="3"/>
  <c r="H15" i="3"/>
  <c r="J15" i="3"/>
  <c r="I15" i="3"/>
  <c r="H2" i="3"/>
  <c r="J2" i="3"/>
  <c r="I2" i="3"/>
  <c r="J94" i="2"/>
  <c r="J95" i="2"/>
  <c r="J96" i="2"/>
  <c r="J97" i="2"/>
  <c r="J98" i="2"/>
  <c r="J99" i="2"/>
  <c r="J100" i="2"/>
  <c r="J101" i="2"/>
  <c r="J102" i="2"/>
  <c r="J103" i="2"/>
  <c r="J104" i="2"/>
  <c r="I94" i="2"/>
  <c r="I95" i="2"/>
  <c r="I96" i="2"/>
  <c r="I97" i="2"/>
  <c r="I98" i="2"/>
  <c r="I99" i="2"/>
  <c r="I100" i="2"/>
  <c r="I101" i="2"/>
  <c r="I102" i="2"/>
  <c r="I103" i="2"/>
  <c r="I104" i="2"/>
  <c r="H94" i="2"/>
  <c r="H95" i="2"/>
  <c r="H96" i="2"/>
  <c r="H97" i="2"/>
  <c r="H98" i="2"/>
  <c r="H99" i="2"/>
  <c r="H100" i="2"/>
  <c r="H101" i="2"/>
  <c r="H102" i="2"/>
  <c r="H103" i="2"/>
  <c r="H104" i="2"/>
  <c r="I93" i="2"/>
  <c r="J93" i="2"/>
  <c r="H93" i="2"/>
  <c r="J81" i="2"/>
  <c r="J82" i="2"/>
  <c r="J83" i="2"/>
  <c r="J84" i="2"/>
  <c r="J85" i="2"/>
  <c r="J86" i="2"/>
  <c r="J87" i="2"/>
  <c r="J88" i="2"/>
  <c r="J89" i="2"/>
  <c r="J90" i="2"/>
  <c r="J91" i="2"/>
  <c r="I81" i="2"/>
  <c r="I82" i="2"/>
  <c r="I83" i="2"/>
  <c r="I84" i="2"/>
  <c r="I85" i="2"/>
  <c r="I86" i="2"/>
  <c r="I87" i="2"/>
  <c r="I88" i="2"/>
  <c r="I89" i="2"/>
  <c r="I90" i="2"/>
  <c r="I91" i="2"/>
  <c r="H81" i="2"/>
  <c r="H82" i="2"/>
  <c r="H83" i="2"/>
  <c r="H84" i="2"/>
  <c r="H85" i="2"/>
  <c r="H86" i="2"/>
  <c r="H87" i="2"/>
  <c r="H88" i="2"/>
  <c r="H89" i="2"/>
  <c r="H90" i="2"/>
  <c r="H91" i="2"/>
  <c r="I80" i="2"/>
  <c r="J80" i="2"/>
  <c r="H80" i="2"/>
  <c r="J68" i="2"/>
  <c r="J69" i="2"/>
  <c r="J70" i="2"/>
  <c r="J71" i="2"/>
  <c r="J72" i="2"/>
  <c r="J73" i="2"/>
  <c r="J74" i="2"/>
  <c r="J75" i="2"/>
  <c r="J76" i="2"/>
  <c r="J77" i="2"/>
  <c r="J78" i="2"/>
  <c r="I68" i="2"/>
  <c r="I69" i="2"/>
  <c r="I70" i="2"/>
  <c r="I71" i="2"/>
  <c r="I72" i="2"/>
  <c r="I73" i="2"/>
  <c r="I74" i="2"/>
  <c r="I75" i="2"/>
  <c r="I76" i="2"/>
  <c r="I77" i="2"/>
  <c r="I78" i="2"/>
  <c r="H68" i="2"/>
  <c r="H69" i="2"/>
  <c r="H70" i="2"/>
  <c r="H71" i="2"/>
  <c r="H72" i="2"/>
  <c r="H73" i="2"/>
  <c r="H74" i="2"/>
  <c r="H75" i="2"/>
  <c r="H76" i="2"/>
  <c r="H77" i="2"/>
  <c r="H78" i="2"/>
  <c r="H67" i="2"/>
  <c r="I67" i="2"/>
  <c r="J67" i="2"/>
  <c r="J55" i="2"/>
  <c r="J56" i="2"/>
  <c r="J57" i="2"/>
  <c r="J58" i="2"/>
  <c r="J59" i="2"/>
  <c r="J60" i="2"/>
  <c r="J61" i="2"/>
  <c r="J62" i="2"/>
  <c r="J63" i="2"/>
  <c r="J64" i="2"/>
  <c r="J65" i="2"/>
  <c r="I55" i="2"/>
  <c r="I56" i="2"/>
  <c r="I57" i="2"/>
  <c r="I58" i="2"/>
  <c r="I59" i="2"/>
  <c r="I60" i="2"/>
  <c r="I61" i="2"/>
  <c r="I62" i="2"/>
  <c r="I63" i="2"/>
  <c r="I64" i="2"/>
  <c r="I65" i="2"/>
  <c r="H55" i="2"/>
  <c r="H56" i="2"/>
  <c r="H57" i="2"/>
  <c r="H58" i="2"/>
  <c r="H59" i="2"/>
  <c r="H60" i="2"/>
  <c r="H61" i="2"/>
  <c r="H62" i="2"/>
  <c r="H63" i="2"/>
  <c r="H64" i="2"/>
  <c r="H65" i="2"/>
  <c r="I54" i="2"/>
  <c r="J54" i="2"/>
  <c r="H54" i="2"/>
  <c r="J42" i="2"/>
  <c r="J43" i="2"/>
  <c r="J44" i="2"/>
  <c r="J45" i="2"/>
  <c r="J46" i="2"/>
  <c r="J47" i="2"/>
  <c r="J48" i="2"/>
  <c r="J49" i="2"/>
  <c r="J50" i="2"/>
  <c r="J51" i="2"/>
  <c r="J52" i="2"/>
  <c r="I42" i="2"/>
  <c r="I43" i="2"/>
  <c r="I44" i="2"/>
  <c r="I45" i="2"/>
  <c r="I46" i="2"/>
  <c r="I47" i="2"/>
  <c r="I48" i="2"/>
  <c r="I49" i="2"/>
  <c r="I50" i="2"/>
  <c r="I51" i="2"/>
  <c r="I52" i="2"/>
  <c r="H42" i="2"/>
  <c r="H43" i="2"/>
  <c r="H44" i="2"/>
  <c r="H45" i="2"/>
  <c r="H46" i="2"/>
  <c r="H47" i="2"/>
  <c r="H48" i="2"/>
  <c r="H49" i="2"/>
  <c r="H50" i="2"/>
  <c r="H51" i="2"/>
  <c r="H52" i="2"/>
  <c r="I41" i="2"/>
  <c r="J41" i="2"/>
  <c r="H41" i="2"/>
  <c r="J29" i="2"/>
  <c r="J30" i="2"/>
  <c r="J31" i="2"/>
  <c r="J32" i="2"/>
  <c r="J33" i="2"/>
  <c r="J34" i="2"/>
  <c r="J35" i="2"/>
  <c r="J36" i="2"/>
  <c r="J37" i="2"/>
  <c r="J38" i="2"/>
  <c r="J39" i="2"/>
  <c r="I29" i="2"/>
  <c r="I30" i="2"/>
  <c r="I31" i="2"/>
  <c r="I32" i="2"/>
  <c r="I33" i="2"/>
  <c r="I34" i="2"/>
  <c r="I35" i="2"/>
  <c r="I36" i="2"/>
  <c r="I37" i="2"/>
  <c r="I38" i="2"/>
  <c r="I39" i="2"/>
  <c r="H29" i="2"/>
  <c r="H30" i="2"/>
  <c r="H31" i="2"/>
  <c r="H32" i="2"/>
  <c r="H33" i="2"/>
  <c r="H34" i="2"/>
  <c r="H35" i="2"/>
  <c r="H36" i="2"/>
  <c r="H37" i="2"/>
  <c r="H38" i="2"/>
  <c r="H39" i="2"/>
  <c r="I28" i="2"/>
  <c r="J28" i="2"/>
  <c r="H28" i="2"/>
  <c r="J25" i="2"/>
  <c r="I26" i="2"/>
  <c r="J16" i="2"/>
  <c r="J17" i="2"/>
  <c r="J18" i="2"/>
  <c r="J19" i="2"/>
  <c r="J20" i="2"/>
  <c r="J21" i="2"/>
  <c r="J22" i="2"/>
  <c r="J23" i="2"/>
  <c r="J24" i="2"/>
  <c r="J26" i="2"/>
  <c r="I16" i="2"/>
  <c r="I17" i="2"/>
  <c r="I18" i="2"/>
  <c r="I19" i="2"/>
  <c r="I20" i="2"/>
  <c r="I21" i="2"/>
  <c r="I22" i="2"/>
  <c r="I23" i="2"/>
  <c r="I24" i="2"/>
  <c r="I25" i="2"/>
  <c r="I15" i="2"/>
  <c r="J15" i="2"/>
  <c r="H16" i="2"/>
  <c r="H17" i="2"/>
  <c r="H18" i="2"/>
  <c r="H19" i="2"/>
  <c r="H20" i="2"/>
  <c r="H21" i="2"/>
  <c r="H22" i="2"/>
  <c r="H23" i="2"/>
  <c r="H24" i="2"/>
  <c r="H25" i="2"/>
  <c r="H26" i="2"/>
  <c r="H15" i="2"/>
  <c r="J3" i="2"/>
  <c r="J4" i="2"/>
  <c r="J5" i="2"/>
  <c r="J6" i="2"/>
  <c r="J7" i="2"/>
  <c r="J8" i="2"/>
  <c r="J9" i="2"/>
  <c r="J10" i="2"/>
  <c r="J11" i="2"/>
  <c r="J12" i="2"/>
  <c r="J13" i="2"/>
  <c r="J2" i="2"/>
  <c r="I3" i="2"/>
  <c r="I4" i="2"/>
  <c r="I5" i="2"/>
  <c r="I6" i="2"/>
  <c r="I7" i="2"/>
  <c r="I8" i="2"/>
  <c r="I9" i="2"/>
  <c r="I10" i="2"/>
  <c r="I11" i="2"/>
  <c r="I12" i="2"/>
  <c r="I13" i="2"/>
  <c r="I2" i="2"/>
  <c r="H3" i="2"/>
  <c r="H4" i="2"/>
  <c r="H5" i="2"/>
  <c r="H6" i="2"/>
  <c r="H7" i="2"/>
  <c r="H8" i="2"/>
  <c r="H9" i="2"/>
  <c r="H10" i="2"/>
  <c r="H11" i="2"/>
  <c r="H12" i="2"/>
  <c r="H13" i="2"/>
  <c r="H2" i="2"/>
  <c r="F14" i="1"/>
  <c r="F53" i="4"/>
  <c r="F40" i="4"/>
  <c r="F27" i="4"/>
  <c r="F14" i="4"/>
  <c r="F92" i="3"/>
  <c r="F79" i="3"/>
  <c r="F66" i="3"/>
  <c r="F53" i="3"/>
  <c r="F40" i="3"/>
  <c r="F27" i="3"/>
  <c r="F14" i="3"/>
  <c r="F105" i="2"/>
  <c r="F92" i="2"/>
  <c r="F79" i="2"/>
  <c r="F66" i="2"/>
  <c r="F53" i="2"/>
  <c r="F40" i="2"/>
  <c r="F27" i="2"/>
  <c r="F14" i="2"/>
  <c r="E53" i="4"/>
  <c r="D53" i="4"/>
  <c r="E40" i="4"/>
  <c r="D40" i="4"/>
  <c r="E27" i="4"/>
  <c r="D27" i="4"/>
  <c r="E14" i="4"/>
  <c r="D14" i="4"/>
  <c r="E92" i="3"/>
  <c r="D92" i="3"/>
  <c r="E79" i="3"/>
  <c r="D79" i="3"/>
  <c r="E66" i="3"/>
  <c r="D66" i="3"/>
  <c r="E53" i="3"/>
  <c r="D53" i="3"/>
  <c r="E40" i="3"/>
  <c r="D40" i="3"/>
  <c r="E27" i="3"/>
  <c r="D27" i="3"/>
  <c r="E14" i="3"/>
  <c r="D14" i="3"/>
  <c r="E105" i="2"/>
  <c r="D105" i="2"/>
  <c r="E92" i="2"/>
  <c r="D92" i="2"/>
  <c r="E79" i="2"/>
  <c r="D79" i="2"/>
  <c r="E66" i="2"/>
  <c r="D66" i="2"/>
  <c r="E53" i="2"/>
  <c r="D53" i="2"/>
  <c r="E40" i="2"/>
  <c r="D40" i="2"/>
  <c r="E27" i="2"/>
  <c r="D27" i="2"/>
  <c r="E14" i="2"/>
  <c r="D14" i="2"/>
  <c r="D14" i="1"/>
  <c r="E14" i="1"/>
</calcChain>
</file>

<file path=xl/sharedStrings.xml><?xml version="1.0" encoding="utf-8"?>
<sst xmlns="http://schemas.openxmlformats.org/spreadsheetml/2006/main" count="100" uniqueCount="52">
  <si>
    <t>month</t>
  </si>
  <si>
    <t>equipment_energy_kWh</t>
  </si>
  <si>
    <t>light_energy_kWh</t>
  </si>
  <si>
    <t>Annual</t>
  </si>
  <si>
    <t>district_cooling_energy_kWh</t>
  </si>
  <si>
    <t>Bldg ID</t>
  </si>
  <si>
    <t>Bldg Name</t>
  </si>
  <si>
    <t>FOE15</t>
  </si>
  <si>
    <t>E2A</t>
  </si>
  <si>
    <t>FOE1</t>
  </si>
  <si>
    <t>EA</t>
  </si>
  <si>
    <t>FOE21</t>
  </si>
  <si>
    <t>FOE24</t>
  </si>
  <si>
    <t>E4A</t>
  </si>
  <si>
    <t>FOE26</t>
  </si>
  <si>
    <t>E6</t>
  </si>
  <si>
    <t>FOE3</t>
  </si>
  <si>
    <t>E3A</t>
  </si>
  <si>
    <t>FOE4</t>
  </si>
  <si>
    <t>FOE5</t>
  </si>
  <si>
    <t>E1A</t>
  </si>
  <si>
    <t>FOE11</t>
  </si>
  <si>
    <t>SDE3</t>
  </si>
  <si>
    <t>FOE12</t>
  </si>
  <si>
    <t>EW1</t>
  </si>
  <si>
    <t>FOE16</t>
  </si>
  <si>
    <t>E4</t>
  </si>
  <si>
    <t>FOE19</t>
  </si>
  <si>
    <t>SDE1</t>
  </si>
  <si>
    <t>FOE20</t>
  </si>
  <si>
    <t>SDE2</t>
  </si>
  <si>
    <t>FOE23</t>
  </si>
  <si>
    <t>E5</t>
  </si>
  <si>
    <t>FOE25</t>
  </si>
  <si>
    <t>E8</t>
  </si>
  <si>
    <t>FOE13</t>
  </si>
  <si>
    <t>E1</t>
  </si>
  <si>
    <t>FOE18</t>
  </si>
  <si>
    <t>SDE4</t>
  </si>
  <si>
    <t>FOE6</t>
  </si>
  <si>
    <t>E2</t>
  </si>
  <si>
    <t>FOE9</t>
  </si>
  <si>
    <t>E3</t>
  </si>
  <si>
    <t>FOE10</t>
  </si>
  <si>
    <t>T-Lab</t>
  </si>
  <si>
    <t>CELC</t>
  </si>
  <si>
    <t>EW1A</t>
  </si>
  <si>
    <t>floor_area</t>
  </si>
  <si>
    <t>equipment_EUI_kWh/m2</t>
  </si>
  <si>
    <t>light_EUI_kWh/m2</t>
  </si>
  <si>
    <t>cooling_EUI_kWh/m2</t>
  </si>
  <si>
    <t>cooling_energy_kWh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</si>
</sst>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5"/>
  <sheetViews>
    <sheetView tabSelected="1" zoomScale="115" zoomScaleNormal="115" workbookViewId="0">
      <pane ySplit="1" topLeftCell="A2" activePane="bottomLeft" state="frozen"/>
      <selection pane="bottomLeft" activeCell="K5" sqref="K5"/>
    </sheetView>
  </sheetViews>
  <sheetFormatPr defaultRowHeight="14.25" x14ac:dyDescent="0.45"/>
  <cols>
    <col min="4" max="4" width="12.796875" customWidth="1"/>
    <col min="5" max="5" width="13" customWidth="1"/>
    <col min="8" max="8" width="30.265625" customWidth="1"/>
    <col min="9" max="9" width="18.6640625" customWidth="1"/>
    <col min="10" max="10" width="22.73046875" customWidth="1"/>
  </cols>
  <sheetData>
    <row r="1" spans="1:10" x14ac:dyDescent="0.45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51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45">
      <c r="A2" s="3" t="s">
        <v>7</v>
      </c>
      <c r="B2" s="3" t="s">
        <v>8</v>
      </c>
      <c r="C2">
        <v>1</v>
      </c>
      <c r="D2">
        <v>53390.148369928233</v>
      </c>
      <c r="E2">
        <v>22177.44624596733</v>
      </c>
      <c r="F2">
        <v>46788.673696002843</v>
      </c>
      <c r="G2">
        <v>3154.3800000000019</v>
      </c>
      <c r="H2">
        <f>D2/$G$2</f>
        <v>16.925718641992468</v>
      </c>
      <c r="I2">
        <f>E2/$G$2</f>
        <v>7.0306831282113498</v>
      </c>
      <c r="J2">
        <f>F2/$G$2</f>
        <v>14.832922379676138</v>
      </c>
    </row>
    <row r="3" spans="1:10" x14ac:dyDescent="0.45">
      <c r="A3" s="3"/>
      <c r="B3" s="3"/>
      <c r="C3">
        <v>2</v>
      </c>
      <c r="D3">
        <v>48223.359818000346</v>
      </c>
      <c r="E3">
        <v>20031.241770552089</v>
      </c>
      <c r="F3">
        <v>43482.345278083711</v>
      </c>
      <c r="H3">
        <f t="shared" ref="H3:H13" si="0">D3/$G$2</f>
        <v>15.287745870186951</v>
      </c>
      <c r="I3">
        <f t="shared" ref="I3:I13" si="1">E3/$G$2</f>
        <v>6.3502944383847471</v>
      </c>
      <c r="J3">
        <f t="shared" ref="J3:J13" si="2">F3/$G$2</f>
        <v>13.784751766776255</v>
      </c>
    </row>
    <row r="4" spans="1:10" x14ac:dyDescent="0.45">
      <c r="A4" s="3"/>
      <c r="B4" s="3"/>
      <c r="C4">
        <v>3</v>
      </c>
      <c r="D4">
        <v>53390.148369928233</v>
      </c>
      <c r="E4">
        <v>22177.44624596732</v>
      </c>
      <c r="F4">
        <v>54987.222645079542</v>
      </c>
      <c r="H4">
        <f t="shared" si="0"/>
        <v>16.925718641992468</v>
      </c>
      <c r="I4">
        <f t="shared" si="1"/>
        <v>7.0306831282113462</v>
      </c>
      <c r="J4">
        <f t="shared" si="2"/>
        <v>17.432022345145324</v>
      </c>
    </row>
    <row r="5" spans="1:10" x14ac:dyDescent="0.45">
      <c r="A5" s="3"/>
      <c r="B5" s="3"/>
      <c r="C5">
        <v>4</v>
      </c>
      <c r="D5">
        <v>51667.885519285599</v>
      </c>
      <c r="E5">
        <v>21462.044754162242</v>
      </c>
      <c r="F5">
        <v>55736.173525844613</v>
      </c>
      <c r="H5">
        <f t="shared" si="0"/>
        <v>16.379727718057293</v>
      </c>
      <c r="I5">
        <f t="shared" si="1"/>
        <v>6.8038868982691456</v>
      </c>
      <c r="J5">
        <f t="shared" si="2"/>
        <v>17.669454385915643</v>
      </c>
    </row>
    <row r="6" spans="1:10" x14ac:dyDescent="0.45">
      <c r="A6" s="3"/>
      <c r="B6" s="3"/>
      <c r="C6">
        <v>5</v>
      </c>
      <c r="D6">
        <v>53390.148369928233</v>
      </c>
      <c r="E6">
        <v>22177.44624596732</v>
      </c>
      <c r="F6">
        <v>65951.125812024547</v>
      </c>
      <c r="H6">
        <f t="shared" si="0"/>
        <v>16.925718641992468</v>
      </c>
      <c r="I6">
        <f t="shared" si="1"/>
        <v>7.0306831282113462</v>
      </c>
      <c r="J6">
        <f t="shared" si="2"/>
        <v>20.907793548026714</v>
      </c>
    </row>
    <row r="7" spans="1:10" x14ac:dyDescent="0.45">
      <c r="A7" s="3"/>
      <c r="B7" s="3"/>
      <c r="C7">
        <v>6</v>
      </c>
      <c r="D7">
        <v>51667.885519285599</v>
      </c>
      <c r="E7">
        <v>21462.044754162242</v>
      </c>
      <c r="F7">
        <v>63371.603125722053</v>
      </c>
      <c r="H7">
        <f t="shared" si="0"/>
        <v>16.379727718057293</v>
      </c>
      <c r="I7">
        <f t="shared" si="1"/>
        <v>6.8038868982691456</v>
      </c>
      <c r="J7">
        <f t="shared" si="2"/>
        <v>20.090034531578951</v>
      </c>
    </row>
    <row r="8" spans="1:10" x14ac:dyDescent="0.45">
      <c r="A8" s="3"/>
      <c r="B8" s="3"/>
      <c r="C8">
        <v>7</v>
      </c>
      <c r="D8">
        <v>53390.148369928233</v>
      </c>
      <c r="E8">
        <v>22177.44624596732</v>
      </c>
      <c r="F8">
        <v>61688.452339822492</v>
      </c>
      <c r="H8">
        <f t="shared" si="0"/>
        <v>16.925718641992468</v>
      </c>
      <c r="I8">
        <f t="shared" si="1"/>
        <v>7.0306831282113462</v>
      </c>
      <c r="J8">
        <f t="shared" si="2"/>
        <v>19.55644289521949</v>
      </c>
    </row>
    <row r="9" spans="1:10" x14ac:dyDescent="0.45">
      <c r="A9" s="3"/>
      <c r="B9" s="3"/>
      <c r="C9">
        <v>8</v>
      </c>
      <c r="D9">
        <v>53390.148369928233</v>
      </c>
      <c r="E9">
        <v>22177.44624596732</v>
      </c>
      <c r="F9">
        <v>56877.110438267453</v>
      </c>
      <c r="H9">
        <f t="shared" si="0"/>
        <v>16.925718641992468</v>
      </c>
      <c r="I9">
        <f t="shared" si="1"/>
        <v>7.0306831282113462</v>
      </c>
      <c r="J9">
        <f t="shared" si="2"/>
        <v>18.031153646126153</v>
      </c>
    </row>
    <row r="10" spans="1:10" x14ac:dyDescent="0.45">
      <c r="A10" s="3"/>
      <c r="B10" s="3"/>
      <c r="C10">
        <v>9</v>
      </c>
      <c r="D10">
        <v>51667.885519285599</v>
      </c>
      <c r="E10">
        <v>21462.044754162242</v>
      </c>
      <c r="F10">
        <v>52672.735963761937</v>
      </c>
      <c r="H10">
        <f t="shared" si="0"/>
        <v>16.379727718057293</v>
      </c>
      <c r="I10">
        <f t="shared" si="1"/>
        <v>6.8038868982691456</v>
      </c>
      <c r="J10">
        <f t="shared" si="2"/>
        <v>16.698284912966066</v>
      </c>
    </row>
    <row r="11" spans="1:10" x14ac:dyDescent="0.45">
      <c r="A11" s="3"/>
      <c r="B11" s="3"/>
      <c r="C11">
        <v>10</v>
      </c>
      <c r="D11">
        <v>53390.148369928233</v>
      </c>
      <c r="E11">
        <v>22177.44624596732</v>
      </c>
      <c r="F11">
        <v>58568.440624481656</v>
      </c>
      <c r="H11">
        <f t="shared" si="0"/>
        <v>16.925718641992468</v>
      </c>
      <c r="I11">
        <f t="shared" si="1"/>
        <v>7.0306831282113462</v>
      </c>
      <c r="J11">
        <f t="shared" si="2"/>
        <v>18.567338311960391</v>
      </c>
    </row>
    <row r="12" spans="1:10" x14ac:dyDescent="0.45">
      <c r="A12" s="3"/>
      <c r="B12" s="3"/>
      <c r="C12">
        <v>11</v>
      </c>
      <c r="D12">
        <v>51667.885519285592</v>
      </c>
      <c r="E12">
        <v>21462.044754162249</v>
      </c>
      <c r="F12">
        <v>54638.50635524594</v>
      </c>
      <c r="H12">
        <f t="shared" si="0"/>
        <v>16.379727718057293</v>
      </c>
      <c r="I12">
        <f t="shared" si="1"/>
        <v>6.8038868982691483</v>
      </c>
      <c r="J12">
        <f t="shared" si="2"/>
        <v>17.32147247802925</v>
      </c>
    </row>
    <row r="13" spans="1:10" x14ac:dyDescent="0.45">
      <c r="A13" s="3"/>
      <c r="B13" s="3"/>
      <c r="C13">
        <v>12</v>
      </c>
      <c r="D13">
        <v>53390.148369928233</v>
      </c>
      <c r="E13">
        <v>22177.44624596733</v>
      </c>
      <c r="F13">
        <v>49113.883312178688</v>
      </c>
      <c r="H13">
        <f t="shared" si="0"/>
        <v>16.925718641992468</v>
      </c>
      <c r="I13">
        <f t="shared" si="1"/>
        <v>7.0306831282113498</v>
      </c>
      <c r="J13">
        <f t="shared" si="2"/>
        <v>15.570059191403274</v>
      </c>
    </row>
    <row r="14" spans="1:10" s="1" customFormat="1" x14ac:dyDescent="0.45">
      <c r="A14" s="1" t="s">
        <v>3</v>
      </c>
      <c r="D14" s="1">
        <f t="shared" ref="D14:F14" si="3">SUM(D2:D13)</f>
        <v>628625.94048464042</v>
      </c>
      <c r="E14" s="1">
        <f t="shared" si="3"/>
        <v>261121.54450897232</v>
      </c>
      <c r="F14" s="1">
        <f t="shared" si="3"/>
        <v>663876.27311651548</v>
      </c>
    </row>
    <row r="15" spans="1:10" x14ac:dyDescent="0.45">
      <c r="A15" s="3" t="s">
        <v>9</v>
      </c>
      <c r="B15" s="3" t="s">
        <v>10</v>
      </c>
      <c r="C15">
        <v>1</v>
      </c>
      <c r="D15">
        <v>292468.58629372937</v>
      </c>
      <c r="E15">
        <v>121486.95122971269</v>
      </c>
      <c r="F15">
        <v>205436.8048174851</v>
      </c>
      <c r="G15">
        <v>17279.22</v>
      </c>
      <c r="H15">
        <f>D15/$G$2</f>
        <v>92.718247736077828</v>
      </c>
      <c r="I15">
        <f t="shared" ref="I15:J26" si="4">E15/$G$2</f>
        <v>38.513733674989261</v>
      </c>
      <c r="J15">
        <f t="shared" si="4"/>
        <v>65.127475071958671</v>
      </c>
    </row>
    <row r="16" spans="1:10" x14ac:dyDescent="0.45">
      <c r="A16" s="3"/>
      <c r="B16" s="3"/>
      <c r="C16">
        <v>2</v>
      </c>
      <c r="D16">
        <v>264165.17471692519</v>
      </c>
      <c r="E16">
        <v>109730.1494978058</v>
      </c>
      <c r="F16">
        <v>190598.91763083421</v>
      </c>
      <c r="H16">
        <f t="shared" ref="H16:H65" si="5">D16/$G$2</f>
        <v>83.745514084201972</v>
      </c>
      <c r="I16">
        <f t="shared" si="4"/>
        <v>34.786598158055064</v>
      </c>
      <c r="J16">
        <f t="shared" si="4"/>
        <v>60.423575355801802</v>
      </c>
    </row>
    <row r="17" spans="1:10" x14ac:dyDescent="0.45">
      <c r="A17" s="3"/>
      <c r="B17" s="3"/>
      <c r="C17">
        <v>3</v>
      </c>
      <c r="D17">
        <v>292468.5862937303</v>
      </c>
      <c r="E17">
        <v>121486.95122971269</v>
      </c>
      <c r="F17">
        <v>237856.41763122211</v>
      </c>
      <c r="H17">
        <f t="shared" si="5"/>
        <v>92.718247736078126</v>
      </c>
      <c r="I17">
        <f t="shared" si="4"/>
        <v>38.513733674989261</v>
      </c>
      <c r="J17">
        <f t="shared" si="4"/>
        <v>75.405124820478818</v>
      </c>
    </row>
    <row r="18" spans="1:10" x14ac:dyDescent="0.45">
      <c r="A18" s="3"/>
      <c r="B18" s="3"/>
      <c r="C18">
        <v>4</v>
      </c>
      <c r="D18">
        <v>283034.11576812889</v>
      </c>
      <c r="E18">
        <v>117568.0173190771</v>
      </c>
      <c r="F18">
        <v>239760.68897078859</v>
      </c>
      <c r="H18">
        <f t="shared" si="5"/>
        <v>89.727336518786174</v>
      </c>
      <c r="I18">
        <f t="shared" si="4"/>
        <v>37.271355169344538</v>
      </c>
      <c r="J18">
        <f t="shared" si="4"/>
        <v>76.008815986275735</v>
      </c>
    </row>
    <row r="19" spans="1:10" x14ac:dyDescent="0.45">
      <c r="A19" s="3"/>
      <c r="B19" s="3"/>
      <c r="C19">
        <v>5</v>
      </c>
      <c r="D19">
        <v>292468.5862937303</v>
      </c>
      <c r="E19">
        <v>121486.95122971269</v>
      </c>
      <c r="F19">
        <v>282520.72479938529</v>
      </c>
      <c r="H19">
        <f t="shared" si="5"/>
        <v>92.718247736078126</v>
      </c>
      <c r="I19">
        <f t="shared" si="4"/>
        <v>38.513733674989261</v>
      </c>
      <c r="J19">
        <f t="shared" si="4"/>
        <v>89.564581565754636</v>
      </c>
    </row>
    <row r="20" spans="1:10" x14ac:dyDescent="0.45">
      <c r="A20" s="3"/>
      <c r="B20" s="3"/>
      <c r="C20">
        <v>6</v>
      </c>
      <c r="D20">
        <v>283034.11576812889</v>
      </c>
      <c r="E20">
        <v>117568.0173190771</v>
      </c>
      <c r="F20">
        <v>271147.99203632632</v>
      </c>
      <c r="H20">
        <f t="shared" si="5"/>
        <v>89.727336518786174</v>
      </c>
      <c r="I20">
        <f t="shared" si="4"/>
        <v>37.271355169344538</v>
      </c>
      <c r="J20">
        <f t="shared" si="4"/>
        <v>85.959203404892932</v>
      </c>
    </row>
    <row r="21" spans="1:10" x14ac:dyDescent="0.45">
      <c r="A21" s="3"/>
      <c r="B21" s="3"/>
      <c r="C21">
        <v>7</v>
      </c>
      <c r="D21">
        <v>292468.5862937303</v>
      </c>
      <c r="E21">
        <v>121486.95122971269</v>
      </c>
      <c r="F21">
        <v>261598.20923190459</v>
      </c>
      <c r="H21">
        <f t="shared" si="5"/>
        <v>92.718247736078126</v>
      </c>
      <c r="I21">
        <f t="shared" si="4"/>
        <v>38.513733674989261</v>
      </c>
      <c r="J21">
        <f t="shared" si="4"/>
        <v>82.931735945543792</v>
      </c>
    </row>
    <row r="22" spans="1:10" x14ac:dyDescent="0.45">
      <c r="A22" s="3"/>
      <c r="B22" s="3"/>
      <c r="C22">
        <v>8</v>
      </c>
      <c r="D22">
        <v>292468.5862937303</v>
      </c>
      <c r="E22">
        <v>121486.95122971269</v>
      </c>
      <c r="F22">
        <v>243688.59869230891</v>
      </c>
      <c r="H22">
        <f t="shared" si="5"/>
        <v>92.718247736078126</v>
      </c>
      <c r="I22">
        <f t="shared" si="4"/>
        <v>38.513733674989261</v>
      </c>
      <c r="J22">
        <f t="shared" si="4"/>
        <v>77.254039999083417</v>
      </c>
    </row>
    <row r="23" spans="1:10" x14ac:dyDescent="0.45">
      <c r="A23" s="3"/>
      <c r="B23" s="3"/>
      <c r="C23">
        <v>9</v>
      </c>
      <c r="D23">
        <v>283034.11576812889</v>
      </c>
      <c r="E23">
        <v>117568.0173190771</v>
      </c>
      <c r="F23">
        <v>227876.01805908489</v>
      </c>
      <c r="H23">
        <f t="shared" si="5"/>
        <v>89.727336518786174</v>
      </c>
      <c r="I23">
        <f t="shared" si="4"/>
        <v>37.271355169344538</v>
      </c>
      <c r="J23">
        <f t="shared" si="4"/>
        <v>72.241143444697457</v>
      </c>
    </row>
    <row r="24" spans="1:10" x14ac:dyDescent="0.45">
      <c r="A24" s="3"/>
      <c r="B24" s="3"/>
      <c r="C24">
        <v>10</v>
      </c>
      <c r="D24">
        <v>292468.5862937303</v>
      </c>
      <c r="E24">
        <v>121486.95122971269</v>
      </c>
      <c r="F24">
        <v>254300.67755022491</v>
      </c>
      <c r="H24">
        <f t="shared" si="5"/>
        <v>92.718247736078126</v>
      </c>
      <c r="I24">
        <f t="shared" si="4"/>
        <v>38.513733674989261</v>
      </c>
      <c r="J24">
        <f t="shared" si="4"/>
        <v>80.618276032128264</v>
      </c>
    </row>
    <row r="25" spans="1:10" x14ac:dyDescent="0.45">
      <c r="A25" s="3"/>
      <c r="B25" s="3"/>
      <c r="C25">
        <v>11</v>
      </c>
      <c r="D25">
        <v>283034.11576812802</v>
      </c>
      <c r="E25">
        <v>117568.0173190771</v>
      </c>
      <c r="F25">
        <v>237283.7974750158</v>
      </c>
      <c r="H25">
        <f t="shared" si="5"/>
        <v>89.72733651878589</v>
      </c>
      <c r="I25">
        <f t="shared" si="4"/>
        <v>37.271355169344538</v>
      </c>
      <c r="J25">
        <f>F25/$G$2</f>
        <v>75.223593059496849</v>
      </c>
    </row>
    <row r="26" spans="1:10" x14ac:dyDescent="0.45">
      <c r="A26" s="3"/>
      <c r="B26" s="3"/>
      <c r="C26">
        <v>12</v>
      </c>
      <c r="D26">
        <v>292468.58629372937</v>
      </c>
      <c r="E26">
        <v>121486.95122971269</v>
      </c>
      <c r="F26">
        <v>213983.12262310559</v>
      </c>
      <c r="H26">
        <f t="shared" si="5"/>
        <v>92.718247736077828</v>
      </c>
      <c r="I26">
        <f t="shared" si="4"/>
        <v>38.513733674989261</v>
      </c>
      <c r="J26">
        <f t="shared" si="4"/>
        <v>67.836824549707217</v>
      </c>
    </row>
    <row r="27" spans="1:10" s="1" customFormat="1" x14ac:dyDescent="0.45">
      <c r="A27" s="1" t="s">
        <v>3</v>
      </c>
      <c r="D27" s="1">
        <f t="shared" ref="D27" si="6">SUM(D15:D26)</f>
        <v>3443581.7418455509</v>
      </c>
      <c r="E27" s="1">
        <f t="shared" ref="E27" si="7">SUM(E15:E26)</f>
        <v>1430410.8773821031</v>
      </c>
      <c r="F27" s="1">
        <f t="shared" ref="F27" si="8">SUM(F15:F26)</f>
        <v>2866051.9695176864</v>
      </c>
    </row>
    <row r="28" spans="1:10" x14ac:dyDescent="0.45">
      <c r="A28" s="3" t="s">
        <v>11</v>
      </c>
      <c r="B28" s="3" t="s">
        <v>45</v>
      </c>
      <c r="C28">
        <v>1</v>
      </c>
      <c r="D28">
        <v>74001.633317569445</v>
      </c>
      <c r="E28">
        <v>30739.139993451128</v>
      </c>
      <c r="F28">
        <v>54137.864767163701</v>
      </c>
      <c r="G28">
        <v>4372.0200000000032</v>
      </c>
      <c r="H28">
        <f t="shared" si="5"/>
        <v>23.459961487699452</v>
      </c>
      <c r="I28">
        <f t="shared" ref="I28:I39" si="9">E28/$G$2</f>
        <v>9.7449070795056745</v>
      </c>
      <c r="J28">
        <f t="shared" ref="J28:J39" si="10">F28/$G$2</f>
        <v>17.16275932739989</v>
      </c>
    </row>
    <row r="29" spans="1:10" x14ac:dyDescent="0.45">
      <c r="A29" s="3"/>
      <c r="B29" s="3"/>
      <c r="C29">
        <v>2</v>
      </c>
      <c r="D29">
        <v>66840.184931998578</v>
      </c>
      <c r="E29">
        <v>27764.384510214091</v>
      </c>
      <c r="F29">
        <v>50477.708794629631</v>
      </c>
      <c r="H29">
        <f t="shared" si="5"/>
        <v>21.189642634051236</v>
      </c>
      <c r="I29">
        <f t="shared" si="9"/>
        <v>8.8018515556825978</v>
      </c>
      <c r="J29">
        <f t="shared" si="10"/>
        <v>16.002418476730639</v>
      </c>
    </row>
    <row r="30" spans="1:10" x14ac:dyDescent="0.45">
      <c r="A30" s="3"/>
      <c r="B30" s="3"/>
      <c r="C30">
        <v>3</v>
      </c>
      <c r="D30">
        <v>74001.633317569474</v>
      </c>
      <c r="E30">
        <v>30739.13999345111</v>
      </c>
      <c r="F30">
        <v>62882.986958789239</v>
      </c>
      <c r="H30">
        <f t="shared" si="5"/>
        <v>23.459961487699463</v>
      </c>
      <c r="I30">
        <f t="shared" si="9"/>
        <v>9.7449070795056691</v>
      </c>
      <c r="J30">
        <f t="shared" si="10"/>
        <v>19.935133674062477</v>
      </c>
    </row>
    <row r="31" spans="1:10" x14ac:dyDescent="0.45">
      <c r="A31" s="3"/>
      <c r="B31" s="3"/>
      <c r="C31">
        <v>4</v>
      </c>
      <c r="D31">
        <v>71614.483855712504</v>
      </c>
      <c r="E31">
        <v>29747.554832372101</v>
      </c>
      <c r="F31">
        <v>63506.832843335047</v>
      </c>
      <c r="H31">
        <f t="shared" si="5"/>
        <v>22.703188536483385</v>
      </c>
      <c r="I31">
        <f t="shared" si="9"/>
        <v>9.4305552382313103</v>
      </c>
      <c r="J31">
        <f t="shared" si="10"/>
        <v>20.132904990310301</v>
      </c>
    </row>
    <row r="32" spans="1:10" x14ac:dyDescent="0.45">
      <c r="A32" s="3"/>
      <c r="B32" s="3"/>
      <c r="C32">
        <v>5</v>
      </c>
      <c r="D32">
        <v>74001.63331756946</v>
      </c>
      <c r="E32">
        <v>30739.13999345111</v>
      </c>
      <c r="F32">
        <v>74790.897460645603</v>
      </c>
      <c r="H32">
        <f t="shared" si="5"/>
        <v>23.459961487699456</v>
      </c>
      <c r="I32">
        <f t="shared" si="9"/>
        <v>9.7449070795056691</v>
      </c>
      <c r="J32">
        <f t="shared" si="10"/>
        <v>23.710173619109163</v>
      </c>
    </row>
    <row r="33" spans="1:10" x14ac:dyDescent="0.45">
      <c r="A33" s="3"/>
      <c r="B33" s="3"/>
      <c r="C33">
        <v>6</v>
      </c>
      <c r="D33">
        <v>71614.483855712504</v>
      </c>
      <c r="E33">
        <v>29747.554832372101</v>
      </c>
      <c r="F33">
        <v>71797.455511819717</v>
      </c>
      <c r="H33">
        <f t="shared" si="5"/>
        <v>22.703188536483385</v>
      </c>
      <c r="I33">
        <f t="shared" si="9"/>
        <v>9.4305552382313103</v>
      </c>
      <c r="J33">
        <f t="shared" si="10"/>
        <v>22.761194121133052</v>
      </c>
    </row>
    <row r="34" spans="1:10" x14ac:dyDescent="0.45">
      <c r="A34" s="3"/>
      <c r="B34" s="3"/>
      <c r="C34">
        <v>7</v>
      </c>
      <c r="D34">
        <v>74001.63331756946</v>
      </c>
      <c r="E34">
        <v>30739.13999345111</v>
      </c>
      <c r="F34">
        <v>69420.856402299047</v>
      </c>
      <c r="H34">
        <f t="shared" si="5"/>
        <v>23.459961487699456</v>
      </c>
      <c r="I34">
        <f t="shared" si="9"/>
        <v>9.7449070795056691</v>
      </c>
      <c r="J34">
        <f t="shared" si="10"/>
        <v>22.00776583743842</v>
      </c>
    </row>
    <row r="35" spans="1:10" x14ac:dyDescent="0.45">
      <c r="A35" s="3"/>
      <c r="B35" s="3"/>
      <c r="C35">
        <v>8</v>
      </c>
      <c r="D35">
        <v>74001.63331756946</v>
      </c>
      <c r="E35">
        <v>30739.13999345111</v>
      </c>
      <c r="F35">
        <v>64520.344221074163</v>
      </c>
      <c r="H35">
        <f t="shared" si="5"/>
        <v>23.459961487699456</v>
      </c>
      <c r="I35">
        <f t="shared" si="9"/>
        <v>9.7449070795056691</v>
      </c>
      <c r="J35">
        <f t="shared" si="10"/>
        <v>20.454207870032818</v>
      </c>
    </row>
    <row r="36" spans="1:10" x14ac:dyDescent="0.45">
      <c r="A36" s="3"/>
      <c r="B36" s="3"/>
      <c r="C36">
        <v>9</v>
      </c>
      <c r="D36">
        <v>71614.483855712504</v>
      </c>
      <c r="E36">
        <v>29747.554832372101</v>
      </c>
      <c r="F36">
        <v>60207.667878573542</v>
      </c>
      <c r="H36">
        <f t="shared" si="5"/>
        <v>22.703188536483385</v>
      </c>
      <c r="I36">
        <f t="shared" si="9"/>
        <v>9.4305552382313103</v>
      </c>
      <c r="J36">
        <f t="shared" si="10"/>
        <v>19.08700533181592</v>
      </c>
    </row>
    <row r="37" spans="1:10" x14ac:dyDescent="0.45">
      <c r="A37" s="3"/>
      <c r="B37" s="3"/>
      <c r="C37">
        <v>10</v>
      </c>
      <c r="D37">
        <v>74001.63331756946</v>
      </c>
      <c r="E37">
        <v>30739.13999345111</v>
      </c>
      <c r="F37">
        <v>67181.795853133284</v>
      </c>
      <c r="H37">
        <f t="shared" si="5"/>
        <v>23.459961487699456</v>
      </c>
      <c r="I37">
        <f t="shared" si="9"/>
        <v>9.7449070795056691</v>
      </c>
      <c r="J37">
        <f t="shared" si="10"/>
        <v>21.297939960668419</v>
      </c>
    </row>
    <row r="38" spans="1:10" x14ac:dyDescent="0.45">
      <c r="A38" s="3"/>
      <c r="B38" s="3"/>
      <c r="C38">
        <v>11</v>
      </c>
      <c r="D38">
        <v>71614.483855712489</v>
      </c>
      <c r="E38">
        <v>29747.554832372109</v>
      </c>
      <c r="F38">
        <v>62659.325968957179</v>
      </c>
      <c r="H38">
        <f t="shared" si="5"/>
        <v>22.703188536483381</v>
      </c>
      <c r="I38">
        <f t="shared" si="9"/>
        <v>9.4305552382313138</v>
      </c>
      <c r="J38">
        <f t="shared" si="10"/>
        <v>19.864228776798338</v>
      </c>
    </row>
    <row r="39" spans="1:10" x14ac:dyDescent="0.45">
      <c r="A39" s="3"/>
      <c r="B39" s="3"/>
      <c r="C39">
        <v>12</v>
      </c>
      <c r="D39">
        <v>74001.633317569445</v>
      </c>
      <c r="E39">
        <v>30739.139993451128</v>
      </c>
      <c r="F39">
        <v>56449.153919263503</v>
      </c>
      <c r="H39">
        <f t="shared" si="5"/>
        <v>23.459961487699452</v>
      </c>
      <c r="I39">
        <f t="shared" si="9"/>
        <v>9.7449070795056745</v>
      </c>
      <c r="J39">
        <f t="shared" si="10"/>
        <v>17.895483080435291</v>
      </c>
    </row>
    <row r="40" spans="1:10" s="1" customFormat="1" x14ac:dyDescent="0.45">
      <c r="A40" s="1" t="s">
        <v>3</v>
      </c>
      <c r="D40" s="1">
        <f t="shared" ref="D40" si="11">SUM(D28:D39)</f>
        <v>871309.55357783474</v>
      </c>
      <c r="E40" s="1">
        <f t="shared" ref="E40" si="12">SUM(E28:E39)</f>
        <v>361928.58379386034</v>
      </c>
      <c r="F40" s="1">
        <f t="shared" ref="F40" si="13">SUM(F28:F39)</f>
        <v>758032.89057968359</v>
      </c>
    </row>
    <row r="41" spans="1:10" x14ac:dyDescent="0.45">
      <c r="A41" s="3" t="s">
        <v>12</v>
      </c>
      <c r="B41" s="3" t="s">
        <v>13</v>
      </c>
      <c r="C41">
        <v>1</v>
      </c>
      <c r="D41">
        <v>125549.5294303985</v>
      </c>
      <c r="E41">
        <v>52151.342994170562</v>
      </c>
      <c r="F41">
        <v>72312.162273927432</v>
      </c>
      <c r="G41">
        <v>7417.52</v>
      </c>
      <c r="H41">
        <f t="shared" si="5"/>
        <v>39.801650222991022</v>
      </c>
      <c r="I41">
        <f t="shared" ref="I41:I52" si="14">E41/$G$2</f>
        <v>16.532993169551712</v>
      </c>
      <c r="J41">
        <f t="shared" ref="J41:J52" si="15">F41/$G$2</f>
        <v>22.924366206331321</v>
      </c>
    </row>
    <row r="42" spans="1:10" x14ac:dyDescent="0.45">
      <c r="A42" s="3"/>
      <c r="B42" s="3"/>
      <c r="C42">
        <v>2</v>
      </c>
      <c r="D42">
        <v>113399.574969393</v>
      </c>
      <c r="E42">
        <v>47104.438833443797</v>
      </c>
      <c r="F42">
        <v>67654.146739647753</v>
      </c>
      <c r="H42">
        <f t="shared" si="5"/>
        <v>35.949877620766337</v>
      </c>
      <c r="I42">
        <f t="shared" si="14"/>
        <v>14.93302608862717</v>
      </c>
      <c r="J42">
        <f t="shared" si="15"/>
        <v>21.447684406966729</v>
      </c>
    </row>
    <row r="43" spans="1:10" x14ac:dyDescent="0.45">
      <c r="A43" s="3"/>
      <c r="B43" s="3"/>
      <c r="C43">
        <v>3</v>
      </c>
      <c r="D43">
        <v>125549.5294303983</v>
      </c>
      <c r="E43">
        <v>52151.342994170678</v>
      </c>
      <c r="F43">
        <v>82529.707858711015</v>
      </c>
      <c r="H43">
        <f t="shared" si="5"/>
        <v>39.801650222990958</v>
      </c>
      <c r="I43">
        <f t="shared" si="14"/>
        <v>16.532993169551748</v>
      </c>
      <c r="J43">
        <f t="shared" si="15"/>
        <v>26.163527494693398</v>
      </c>
    </row>
    <row r="44" spans="1:10" x14ac:dyDescent="0.45">
      <c r="A44" s="3"/>
      <c r="B44" s="3"/>
      <c r="C44">
        <v>4</v>
      </c>
      <c r="D44">
        <v>121499.54461006309</v>
      </c>
      <c r="E44">
        <v>50469.041607261723</v>
      </c>
      <c r="F44">
        <v>82757.64169221271</v>
      </c>
      <c r="H44">
        <f t="shared" si="5"/>
        <v>38.517726022249384</v>
      </c>
      <c r="I44">
        <f t="shared" si="14"/>
        <v>15.999670809243558</v>
      </c>
      <c r="J44">
        <f t="shared" si="15"/>
        <v>26.235786966761349</v>
      </c>
    </row>
    <row r="45" spans="1:10" x14ac:dyDescent="0.45">
      <c r="A45" s="3"/>
      <c r="B45" s="3"/>
      <c r="C45">
        <v>5</v>
      </c>
      <c r="D45">
        <v>125549.5294303983</v>
      </c>
      <c r="E45">
        <v>52151.342994170642</v>
      </c>
      <c r="F45">
        <v>96908.512727016932</v>
      </c>
      <c r="H45">
        <f t="shared" si="5"/>
        <v>39.801650222990958</v>
      </c>
      <c r="I45">
        <f t="shared" si="14"/>
        <v>16.532993169551737</v>
      </c>
      <c r="J45">
        <f t="shared" si="15"/>
        <v>30.721889159523226</v>
      </c>
    </row>
    <row r="46" spans="1:10" x14ac:dyDescent="0.45">
      <c r="A46" s="3"/>
      <c r="B46" s="3"/>
      <c r="C46">
        <v>6</v>
      </c>
      <c r="D46">
        <v>121499.54461006309</v>
      </c>
      <c r="E46">
        <v>50469.041607261723</v>
      </c>
      <c r="F46">
        <v>93049.714427580679</v>
      </c>
      <c r="H46">
        <f t="shared" si="5"/>
        <v>38.517726022249384</v>
      </c>
      <c r="I46">
        <f t="shared" si="14"/>
        <v>15.999670809243558</v>
      </c>
      <c r="J46">
        <f t="shared" si="15"/>
        <v>29.498574815837223</v>
      </c>
    </row>
    <row r="47" spans="1:10" x14ac:dyDescent="0.45">
      <c r="A47" s="3"/>
      <c r="B47" s="3"/>
      <c r="C47">
        <v>7</v>
      </c>
      <c r="D47">
        <v>125549.5294303983</v>
      </c>
      <c r="E47">
        <v>52151.342994170642</v>
      </c>
      <c r="F47">
        <v>89044.171318305642</v>
      </c>
      <c r="H47">
        <f t="shared" si="5"/>
        <v>39.801650222990958</v>
      </c>
      <c r="I47">
        <f t="shared" si="14"/>
        <v>16.532993169551737</v>
      </c>
      <c r="J47">
        <f t="shared" si="15"/>
        <v>28.22873950453198</v>
      </c>
    </row>
    <row r="48" spans="1:10" x14ac:dyDescent="0.45">
      <c r="A48" s="3"/>
      <c r="B48" s="3"/>
      <c r="C48">
        <v>8</v>
      </c>
      <c r="D48">
        <v>125549.5294303983</v>
      </c>
      <c r="E48">
        <v>52151.342994170642</v>
      </c>
      <c r="F48">
        <v>83544.526806759968</v>
      </c>
      <c r="H48">
        <f t="shared" si="5"/>
        <v>39.801650222990958</v>
      </c>
      <c r="I48">
        <f t="shared" si="14"/>
        <v>16.532993169551737</v>
      </c>
      <c r="J48">
        <f t="shared" si="15"/>
        <v>26.485244899714022</v>
      </c>
    </row>
    <row r="49" spans="1:10" x14ac:dyDescent="0.45">
      <c r="A49" s="3"/>
      <c r="B49" s="3"/>
      <c r="C49">
        <v>9</v>
      </c>
      <c r="D49">
        <v>121499.54461006309</v>
      </c>
      <c r="E49">
        <v>50469.041607261723</v>
      </c>
      <c r="F49">
        <v>78895.453329639931</v>
      </c>
      <c r="H49">
        <f t="shared" si="5"/>
        <v>38.517726022249384</v>
      </c>
      <c r="I49">
        <f t="shared" si="14"/>
        <v>15.999670809243558</v>
      </c>
      <c r="J49">
        <f t="shared" si="15"/>
        <v>25.011397906923033</v>
      </c>
    </row>
    <row r="50" spans="1:10" x14ac:dyDescent="0.45">
      <c r="A50" s="3"/>
      <c r="B50" s="3"/>
      <c r="C50">
        <v>10</v>
      </c>
      <c r="D50">
        <v>125549.5294303983</v>
      </c>
      <c r="E50">
        <v>52151.342994170642</v>
      </c>
      <c r="F50">
        <v>88592.96046621268</v>
      </c>
      <c r="H50">
        <f t="shared" si="5"/>
        <v>39.801650222990958</v>
      </c>
      <c r="I50">
        <f t="shared" si="14"/>
        <v>16.532993169551737</v>
      </c>
      <c r="J50">
        <f t="shared" si="15"/>
        <v>28.085696861574263</v>
      </c>
    </row>
    <row r="51" spans="1:10" x14ac:dyDescent="0.45">
      <c r="A51" s="3"/>
      <c r="B51" s="3"/>
      <c r="C51">
        <v>11</v>
      </c>
      <c r="D51">
        <v>121499.5446100633</v>
      </c>
      <c r="E51">
        <v>50469.041607261643</v>
      </c>
      <c r="F51">
        <v>82771.017874904166</v>
      </c>
      <c r="H51">
        <f t="shared" si="5"/>
        <v>38.517726022249448</v>
      </c>
      <c r="I51">
        <f t="shared" si="14"/>
        <v>15.999670809243531</v>
      </c>
      <c r="J51">
        <f t="shared" si="15"/>
        <v>26.240027477635579</v>
      </c>
    </row>
    <row r="52" spans="1:10" x14ac:dyDescent="0.45">
      <c r="A52" s="3"/>
      <c r="B52" s="3"/>
      <c r="C52">
        <v>12</v>
      </c>
      <c r="D52">
        <v>125549.5294303985</v>
      </c>
      <c r="E52">
        <v>52151.342994170562</v>
      </c>
      <c r="F52">
        <v>74828.351689534626</v>
      </c>
      <c r="H52">
        <f t="shared" si="5"/>
        <v>39.801650222991022</v>
      </c>
      <c r="I52">
        <f t="shared" si="14"/>
        <v>16.532993169551712</v>
      </c>
      <c r="J52">
        <f t="shared" si="15"/>
        <v>23.722047340375788</v>
      </c>
    </row>
    <row r="53" spans="1:10" s="1" customFormat="1" x14ac:dyDescent="0.45">
      <c r="A53" s="1" t="s">
        <v>3</v>
      </c>
      <c r="D53" s="1">
        <f t="shared" ref="D53" si="16">SUM(D41:D52)</f>
        <v>1478244.459422434</v>
      </c>
      <c r="E53" s="1">
        <f t="shared" ref="E53" si="17">SUM(E41:E52)</f>
        <v>614040.00622168498</v>
      </c>
      <c r="F53" s="1">
        <f t="shared" ref="F53" si="18">SUM(F41:F52)</f>
        <v>992888.36720445368</v>
      </c>
    </row>
    <row r="54" spans="1:10" x14ac:dyDescent="0.45">
      <c r="A54" s="3" t="s">
        <v>14</v>
      </c>
      <c r="B54" s="3" t="s">
        <v>15</v>
      </c>
      <c r="C54">
        <v>1</v>
      </c>
      <c r="D54">
        <v>313953.83887540369</v>
      </c>
      <c r="E54">
        <v>130411.5946097858</v>
      </c>
      <c r="F54">
        <v>235701.1527702476</v>
      </c>
      <c r="G54">
        <v>18548.55</v>
      </c>
      <c r="H54">
        <f t="shared" si="5"/>
        <v>99.529491968438649</v>
      </c>
      <c r="I54">
        <f t="shared" ref="I54:I65" si="19">E54/$G$2</f>
        <v>41.343019740736914</v>
      </c>
      <c r="J54">
        <f t="shared" ref="J54:J65" si="20">F54/$G$2</f>
        <v>74.721863811667419</v>
      </c>
    </row>
    <row r="55" spans="1:10" x14ac:dyDescent="0.45">
      <c r="A55" s="3"/>
      <c r="B55" s="3"/>
      <c r="C55">
        <v>2</v>
      </c>
      <c r="D55">
        <v>283571.20930681471</v>
      </c>
      <c r="E55">
        <v>117791.11771206339</v>
      </c>
      <c r="F55">
        <v>218043.95143596129</v>
      </c>
      <c r="H55">
        <f t="shared" si="5"/>
        <v>89.897605648911835</v>
      </c>
      <c r="I55">
        <f t="shared" si="19"/>
        <v>37.342082346471678</v>
      </c>
      <c r="J55">
        <f t="shared" si="20"/>
        <v>69.124186507637361</v>
      </c>
    </row>
    <row r="56" spans="1:10" x14ac:dyDescent="0.45">
      <c r="A56" s="3"/>
      <c r="B56" s="3"/>
      <c r="C56">
        <v>3</v>
      </c>
      <c r="D56">
        <v>313953.83887540328</v>
      </c>
      <c r="E56">
        <v>130411.5946097859</v>
      </c>
      <c r="F56">
        <v>273367.62169137259</v>
      </c>
      <c r="H56">
        <f t="shared" si="5"/>
        <v>99.529491968438521</v>
      </c>
      <c r="I56">
        <f t="shared" si="19"/>
        <v>41.343019740736949</v>
      </c>
      <c r="J56">
        <f t="shared" si="20"/>
        <v>86.662869309142337</v>
      </c>
    </row>
    <row r="57" spans="1:10" x14ac:dyDescent="0.45">
      <c r="A57" s="3"/>
      <c r="B57" s="3"/>
      <c r="C57">
        <v>4</v>
      </c>
      <c r="D57">
        <v>303826.29568587372</v>
      </c>
      <c r="E57">
        <v>126204.7689772117</v>
      </c>
      <c r="F57">
        <v>275992.07268012041</v>
      </c>
      <c r="H57">
        <f t="shared" si="5"/>
        <v>96.318863195262949</v>
      </c>
      <c r="I57">
        <f t="shared" si="19"/>
        <v>40.009373942648516</v>
      </c>
      <c r="J57">
        <f t="shared" si="20"/>
        <v>87.494871473988624</v>
      </c>
    </row>
    <row r="58" spans="1:10" x14ac:dyDescent="0.45">
      <c r="A58" s="3"/>
      <c r="B58" s="3"/>
      <c r="C58">
        <v>5</v>
      </c>
      <c r="D58">
        <v>313953.83887540328</v>
      </c>
      <c r="E58">
        <v>130411.5946097859</v>
      </c>
      <c r="F58">
        <v>324928.34696000232</v>
      </c>
      <c r="H58">
        <f t="shared" si="5"/>
        <v>99.529491968438521</v>
      </c>
      <c r="I58">
        <f t="shared" si="19"/>
        <v>41.343019740736949</v>
      </c>
      <c r="J58">
        <f t="shared" si="20"/>
        <v>103.00862513711161</v>
      </c>
    </row>
    <row r="59" spans="1:10" x14ac:dyDescent="0.45">
      <c r="A59" s="3"/>
      <c r="B59" s="3"/>
      <c r="C59">
        <v>6</v>
      </c>
      <c r="D59">
        <v>303826.29568587372</v>
      </c>
      <c r="E59">
        <v>126204.7689772117</v>
      </c>
      <c r="F59">
        <v>311330.50634787767</v>
      </c>
      <c r="H59">
        <f t="shared" si="5"/>
        <v>96.318863195262949</v>
      </c>
      <c r="I59">
        <f t="shared" si="19"/>
        <v>40.009373942648516</v>
      </c>
      <c r="J59">
        <f t="shared" si="20"/>
        <v>98.697844377620157</v>
      </c>
    </row>
    <row r="60" spans="1:10" x14ac:dyDescent="0.45">
      <c r="A60" s="3"/>
      <c r="B60" s="3"/>
      <c r="C60">
        <v>7</v>
      </c>
      <c r="D60">
        <v>313953.83887540328</v>
      </c>
      <c r="E60">
        <v>130411.5946097859</v>
      </c>
      <c r="F60">
        <v>300650.0777337547</v>
      </c>
      <c r="H60">
        <f t="shared" si="5"/>
        <v>99.529491968438521</v>
      </c>
      <c r="I60">
        <f t="shared" si="19"/>
        <v>41.343019740736949</v>
      </c>
      <c r="J60">
        <f t="shared" si="20"/>
        <v>95.311940138396295</v>
      </c>
    </row>
    <row r="61" spans="1:10" x14ac:dyDescent="0.45">
      <c r="A61" s="3"/>
      <c r="B61" s="3"/>
      <c r="C61">
        <v>8</v>
      </c>
      <c r="D61">
        <v>313953.83887540328</v>
      </c>
      <c r="E61">
        <v>130411.5946097859</v>
      </c>
      <c r="F61">
        <v>280045.9429018799</v>
      </c>
      <c r="H61">
        <f t="shared" si="5"/>
        <v>99.529491968438521</v>
      </c>
      <c r="I61">
        <f t="shared" si="19"/>
        <v>41.343019740736949</v>
      </c>
      <c r="J61">
        <f t="shared" si="20"/>
        <v>88.780027422783476</v>
      </c>
    </row>
    <row r="62" spans="1:10" x14ac:dyDescent="0.45">
      <c r="A62" s="3"/>
      <c r="B62" s="3"/>
      <c r="C62">
        <v>9</v>
      </c>
      <c r="D62">
        <v>303826.29568587372</v>
      </c>
      <c r="E62">
        <v>126204.7689772117</v>
      </c>
      <c r="F62">
        <v>261654.451012248</v>
      </c>
      <c r="H62">
        <f t="shared" si="5"/>
        <v>96.318863195262949</v>
      </c>
      <c r="I62">
        <f t="shared" si="19"/>
        <v>40.009373942648516</v>
      </c>
      <c r="J62">
        <f t="shared" si="20"/>
        <v>82.949565687154958</v>
      </c>
    </row>
    <row r="63" spans="1:10" x14ac:dyDescent="0.45">
      <c r="A63" s="3"/>
      <c r="B63" s="3"/>
      <c r="C63">
        <v>10</v>
      </c>
      <c r="D63">
        <v>313953.83887540328</v>
      </c>
      <c r="E63">
        <v>130411.5946097859</v>
      </c>
      <c r="F63">
        <v>291356.09967179899</v>
      </c>
      <c r="H63">
        <f t="shared" si="5"/>
        <v>99.529491968438521</v>
      </c>
      <c r="I63">
        <f t="shared" si="19"/>
        <v>41.343019740736949</v>
      </c>
      <c r="J63">
        <f t="shared" si="20"/>
        <v>92.365567773000976</v>
      </c>
    </row>
    <row r="64" spans="1:10" x14ac:dyDescent="0.45">
      <c r="A64" s="3"/>
      <c r="B64" s="3"/>
      <c r="C64">
        <v>11</v>
      </c>
      <c r="D64">
        <v>303826.29568587401</v>
      </c>
      <c r="E64">
        <v>126204.7689772117</v>
      </c>
      <c r="F64">
        <v>272161.47669069638</v>
      </c>
      <c r="H64">
        <f t="shared" si="5"/>
        <v>96.318863195263035</v>
      </c>
      <c r="I64">
        <f t="shared" si="19"/>
        <v>40.009373942648516</v>
      </c>
      <c r="J64">
        <f t="shared" si="20"/>
        <v>86.280497812786095</v>
      </c>
    </row>
    <row r="65" spans="1:10" x14ac:dyDescent="0.45">
      <c r="A65" s="3"/>
      <c r="B65" s="3"/>
      <c r="C65">
        <v>12</v>
      </c>
      <c r="D65">
        <v>313953.83887540369</v>
      </c>
      <c r="E65">
        <v>130411.5946097858</v>
      </c>
      <c r="F65">
        <v>245909.7330753151</v>
      </c>
      <c r="H65">
        <f t="shared" si="5"/>
        <v>99.529491968438649</v>
      </c>
      <c r="I65">
        <f t="shared" si="19"/>
        <v>41.343019740736914</v>
      </c>
      <c r="J65">
        <f t="shared" si="20"/>
        <v>77.958182931452441</v>
      </c>
    </row>
    <row r="66" spans="1:10" s="1" customFormat="1" x14ac:dyDescent="0.45">
      <c r="A66" s="1" t="s">
        <v>3</v>
      </c>
      <c r="D66" s="1">
        <f t="shared" ref="D66" si="21">SUM(D54:D65)</f>
        <v>3696553.2641781331</v>
      </c>
      <c r="E66" s="1">
        <f t="shared" ref="E66" si="22">SUM(E54:E65)</f>
        <v>1535491.3558894114</v>
      </c>
      <c r="F66" s="1">
        <f t="shared" ref="F66" si="23">SUM(F54:F65)</f>
        <v>3291141.4329712754</v>
      </c>
    </row>
    <row r="67" spans="1:10" x14ac:dyDescent="0.45">
      <c r="A67" s="3" t="s">
        <v>16</v>
      </c>
      <c r="B67" s="3" t="s">
        <v>17</v>
      </c>
      <c r="C67">
        <v>1</v>
      </c>
      <c r="D67">
        <v>146297.09498910329</v>
      </c>
      <c r="E67">
        <v>60769.562533921933</v>
      </c>
      <c r="F67">
        <v>103276.4823415374</v>
      </c>
      <c r="G67">
        <v>8643.3900000000012</v>
      </c>
      <c r="H67">
        <f>D67/$G$2</f>
        <v>46.379033277253598</v>
      </c>
      <c r="I67">
        <f t="shared" ref="I67:I78" si="24">E67/$G$2</f>
        <v>19.265136899778053</v>
      </c>
      <c r="J67">
        <f t="shared" ref="J67:J78" si="25">F67/$G$2</f>
        <v>32.740659762469114</v>
      </c>
    </row>
    <row r="68" spans="1:10" x14ac:dyDescent="0.45">
      <c r="A68" s="3"/>
      <c r="B68" s="3"/>
      <c r="C68">
        <v>2</v>
      </c>
      <c r="D68">
        <v>132139.31160306541</v>
      </c>
      <c r="E68">
        <v>54888.63712741479</v>
      </c>
      <c r="F68">
        <v>95891.216629964663</v>
      </c>
      <c r="H68">
        <f t="shared" ref="H68:H104" si="26">D68/$G$2</f>
        <v>41.890739734294954</v>
      </c>
      <c r="I68">
        <f t="shared" si="24"/>
        <v>17.400768812703213</v>
      </c>
      <c r="J68">
        <f t="shared" si="25"/>
        <v>30.399386449940909</v>
      </c>
    </row>
    <row r="69" spans="1:10" x14ac:dyDescent="0.45">
      <c r="A69" s="3"/>
      <c r="B69" s="3"/>
      <c r="C69">
        <v>3</v>
      </c>
      <c r="D69">
        <v>146297.09498910329</v>
      </c>
      <c r="E69">
        <v>60769.56253392189</v>
      </c>
      <c r="F69">
        <v>119657.9470102357</v>
      </c>
      <c r="H69">
        <f t="shared" si="26"/>
        <v>46.379033277253598</v>
      </c>
      <c r="I69">
        <f t="shared" si="24"/>
        <v>19.265136899778039</v>
      </c>
      <c r="J69">
        <f t="shared" si="25"/>
        <v>37.933903654675603</v>
      </c>
    </row>
    <row r="70" spans="1:10" x14ac:dyDescent="0.45">
      <c r="A70" s="3"/>
      <c r="B70" s="3"/>
      <c r="C70">
        <v>4</v>
      </c>
      <c r="D70">
        <v>141577.833860424</v>
      </c>
      <c r="E70">
        <v>58809.254065086207</v>
      </c>
      <c r="F70">
        <v>121101.4007023732</v>
      </c>
      <c r="H70">
        <f t="shared" si="26"/>
        <v>44.882935429600721</v>
      </c>
      <c r="I70">
        <f t="shared" si="24"/>
        <v>18.643680870753101</v>
      </c>
      <c r="J70">
        <f t="shared" si="25"/>
        <v>38.391506635970657</v>
      </c>
    </row>
    <row r="71" spans="1:10" x14ac:dyDescent="0.45">
      <c r="A71" s="3"/>
      <c r="B71" s="3"/>
      <c r="C71">
        <v>5</v>
      </c>
      <c r="D71">
        <v>146297.09498910329</v>
      </c>
      <c r="E71">
        <v>60769.562533921919</v>
      </c>
      <c r="F71">
        <v>142894.01945647289</v>
      </c>
      <c r="H71">
        <f t="shared" si="26"/>
        <v>46.379033277253598</v>
      </c>
      <c r="I71">
        <f t="shared" si="24"/>
        <v>19.265136899778049</v>
      </c>
      <c r="J71">
        <f t="shared" si="25"/>
        <v>45.300191941513958</v>
      </c>
    </row>
    <row r="72" spans="1:10" x14ac:dyDescent="0.45">
      <c r="A72" s="3"/>
      <c r="B72" s="3"/>
      <c r="C72">
        <v>6</v>
      </c>
      <c r="D72">
        <v>141577.833860424</v>
      </c>
      <c r="E72">
        <v>58809.254065086207</v>
      </c>
      <c r="F72">
        <v>137348.32185640381</v>
      </c>
      <c r="H72">
        <f t="shared" si="26"/>
        <v>44.882935429600721</v>
      </c>
      <c r="I72">
        <f t="shared" si="24"/>
        <v>18.643680870753101</v>
      </c>
      <c r="J72">
        <f t="shared" si="25"/>
        <v>43.542097609166852</v>
      </c>
    </row>
    <row r="73" spans="1:10" x14ac:dyDescent="0.45">
      <c r="A73" s="3"/>
      <c r="B73" s="3"/>
      <c r="C73">
        <v>7</v>
      </c>
      <c r="D73">
        <v>146297.09498910329</v>
      </c>
      <c r="E73">
        <v>60769.562533921919</v>
      </c>
      <c r="F73">
        <v>132427.26875656989</v>
      </c>
      <c r="H73">
        <f t="shared" si="26"/>
        <v>46.379033277253598</v>
      </c>
      <c r="I73">
        <f t="shared" si="24"/>
        <v>19.265136899778049</v>
      </c>
      <c r="J73">
        <f t="shared" si="25"/>
        <v>41.982027769821585</v>
      </c>
    </row>
    <row r="74" spans="1:10" x14ac:dyDescent="0.45">
      <c r="A74" s="3"/>
      <c r="B74" s="3"/>
      <c r="C74">
        <v>8</v>
      </c>
      <c r="D74">
        <v>146297.09498910329</v>
      </c>
      <c r="E74">
        <v>60769.562533921919</v>
      </c>
      <c r="F74">
        <v>122927.2142776377</v>
      </c>
      <c r="H74">
        <f t="shared" si="26"/>
        <v>46.379033277253598</v>
      </c>
      <c r="I74">
        <f t="shared" si="24"/>
        <v>19.265136899778049</v>
      </c>
      <c r="J74">
        <f t="shared" si="25"/>
        <v>38.970325159821464</v>
      </c>
    </row>
    <row r="75" spans="1:10" x14ac:dyDescent="0.45">
      <c r="A75" s="3"/>
      <c r="B75" s="3"/>
      <c r="C75">
        <v>9</v>
      </c>
      <c r="D75">
        <v>141577.833860424</v>
      </c>
      <c r="E75">
        <v>58809.254065086207</v>
      </c>
      <c r="F75">
        <v>114639.1992506027</v>
      </c>
      <c r="H75">
        <f t="shared" si="26"/>
        <v>44.882935429600721</v>
      </c>
      <c r="I75">
        <f t="shared" si="24"/>
        <v>18.643680870753101</v>
      </c>
      <c r="J75">
        <f t="shared" si="25"/>
        <v>36.342862702211725</v>
      </c>
    </row>
    <row r="76" spans="1:10" x14ac:dyDescent="0.45">
      <c r="A76" s="3"/>
      <c r="B76" s="3"/>
      <c r="C76">
        <v>10</v>
      </c>
      <c r="D76">
        <v>146297.09498910329</v>
      </c>
      <c r="E76">
        <v>60769.562533921919</v>
      </c>
      <c r="F76">
        <v>127776.1511427769</v>
      </c>
      <c r="H76">
        <f t="shared" si="26"/>
        <v>46.379033277253598</v>
      </c>
      <c r="I76">
        <f t="shared" si="24"/>
        <v>19.265136899778049</v>
      </c>
      <c r="J76">
        <f t="shared" si="25"/>
        <v>40.507532745825429</v>
      </c>
    </row>
    <row r="77" spans="1:10" x14ac:dyDescent="0.45">
      <c r="A77" s="3"/>
      <c r="B77" s="3"/>
      <c r="C77">
        <v>11</v>
      </c>
      <c r="D77">
        <v>141577.833860424</v>
      </c>
      <c r="E77">
        <v>58809.254065086199</v>
      </c>
      <c r="F77">
        <v>119327.49911725261</v>
      </c>
      <c r="H77">
        <f t="shared" si="26"/>
        <v>44.882935429600721</v>
      </c>
      <c r="I77">
        <f t="shared" si="24"/>
        <v>18.643680870753101</v>
      </c>
      <c r="J77">
        <f t="shared" si="25"/>
        <v>37.829145225766247</v>
      </c>
    </row>
    <row r="78" spans="1:10" x14ac:dyDescent="0.45">
      <c r="A78" s="3"/>
      <c r="B78" s="3"/>
      <c r="C78">
        <v>12</v>
      </c>
      <c r="D78">
        <v>146297.09498910329</v>
      </c>
      <c r="E78">
        <v>60769.562533921933</v>
      </c>
      <c r="F78">
        <v>107550.9665636268</v>
      </c>
      <c r="H78">
        <f t="shared" si="26"/>
        <v>46.379033277253598</v>
      </c>
      <c r="I78">
        <f t="shared" si="24"/>
        <v>19.265136899778053</v>
      </c>
      <c r="J78">
        <f t="shared" si="25"/>
        <v>34.095754653411049</v>
      </c>
    </row>
    <row r="79" spans="1:10" s="1" customFormat="1" x14ac:dyDescent="0.45">
      <c r="A79" s="1" t="s">
        <v>3</v>
      </c>
      <c r="D79" s="1">
        <f t="shared" ref="D79" si="27">SUM(D67:D78)</f>
        <v>1722530.3119684844</v>
      </c>
      <c r="E79" s="1">
        <f t="shared" ref="E79" si="28">SUM(E67:E78)</f>
        <v>715512.59112521308</v>
      </c>
      <c r="F79" s="1">
        <f t="shared" ref="F79" si="29">SUM(F67:F78)</f>
        <v>1444817.6871054543</v>
      </c>
    </row>
    <row r="80" spans="1:10" x14ac:dyDescent="0.45">
      <c r="A80" s="3" t="s">
        <v>18</v>
      </c>
      <c r="B80" s="3" t="s">
        <v>46</v>
      </c>
      <c r="C80">
        <v>1</v>
      </c>
      <c r="D80">
        <v>32355.162730194221</v>
      </c>
      <c r="E80">
        <v>13439.8368263872</v>
      </c>
      <c r="F80">
        <v>19942.739048983251</v>
      </c>
      <c r="G80">
        <v>1911.6</v>
      </c>
      <c r="H80">
        <f t="shared" si="26"/>
        <v>10.257217814655876</v>
      </c>
      <c r="I80">
        <f t="shared" ref="I80:I91" si="30">E80/$G$2</f>
        <v>4.2606904768566851</v>
      </c>
      <c r="J80">
        <f t="shared" ref="J80:J91" si="31">F80/$G$2</f>
        <v>6.322237349014145</v>
      </c>
    </row>
    <row r="81" spans="1:10" x14ac:dyDescent="0.45">
      <c r="A81" s="3"/>
      <c r="B81" s="3"/>
      <c r="C81">
        <v>2</v>
      </c>
      <c r="D81">
        <v>29224.017949852569</v>
      </c>
      <c r="E81">
        <v>12139.207456091681</v>
      </c>
      <c r="F81">
        <v>18748.312792382731</v>
      </c>
      <c r="H81">
        <f t="shared" si="26"/>
        <v>9.2645838325923169</v>
      </c>
      <c r="I81">
        <f t="shared" si="30"/>
        <v>3.8483655919995923</v>
      </c>
      <c r="J81">
        <f t="shared" si="31"/>
        <v>5.9435809231553334</v>
      </c>
    </row>
    <row r="82" spans="1:10" x14ac:dyDescent="0.45">
      <c r="A82" s="3"/>
      <c r="B82" s="3"/>
      <c r="C82">
        <v>3</v>
      </c>
      <c r="D82">
        <v>32355.162730194239</v>
      </c>
      <c r="E82">
        <v>13439.8368263872</v>
      </c>
      <c r="F82">
        <v>22865.159206052089</v>
      </c>
      <c r="H82">
        <f t="shared" si="26"/>
        <v>10.257217814655881</v>
      </c>
      <c r="I82">
        <f t="shared" si="30"/>
        <v>4.2606904768566851</v>
      </c>
      <c r="J82">
        <f t="shared" si="31"/>
        <v>7.2487015534121051</v>
      </c>
    </row>
    <row r="83" spans="1:10" x14ac:dyDescent="0.45">
      <c r="A83" s="3"/>
      <c r="B83" s="3"/>
      <c r="C83">
        <v>4</v>
      </c>
      <c r="D83">
        <v>31311.447803413688</v>
      </c>
      <c r="E83">
        <v>13006.29370295536</v>
      </c>
      <c r="F83">
        <v>23051.712376758402</v>
      </c>
      <c r="H83">
        <f t="shared" si="26"/>
        <v>9.9263398206346949</v>
      </c>
      <c r="I83">
        <f t="shared" si="30"/>
        <v>4.1232488485709879</v>
      </c>
      <c r="J83">
        <f t="shared" si="31"/>
        <v>7.3078425480628164</v>
      </c>
    </row>
    <row r="84" spans="1:10" x14ac:dyDescent="0.45">
      <c r="A84" s="3"/>
      <c r="B84" s="3"/>
      <c r="C84">
        <v>5</v>
      </c>
      <c r="D84">
        <v>32355.162730194239</v>
      </c>
      <c r="E84">
        <v>13439.8368263872</v>
      </c>
      <c r="F84">
        <v>27230.374833170241</v>
      </c>
      <c r="H84">
        <f t="shared" si="26"/>
        <v>10.257217814655881</v>
      </c>
      <c r="I84">
        <f t="shared" si="30"/>
        <v>4.2606904768566851</v>
      </c>
      <c r="J84">
        <f t="shared" si="31"/>
        <v>8.6325600698616611</v>
      </c>
    </row>
    <row r="85" spans="1:10" x14ac:dyDescent="0.45">
      <c r="A85" s="3"/>
      <c r="B85" s="3"/>
      <c r="C85">
        <v>6</v>
      </c>
      <c r="D85">
        <v>31311.447803413688</v>
      </c>
      <c r="E85">
        <v>13006.29370295536</v>
      </c>
      <c r="F85">
        <v>26355.764933541879</v>
      </c>
      <c r="H85">
        <f t="shared" si="26"/>
        <v>9.9263398206346949</v>
      </c>
      <c r="I85">
        <f t="shared" si="30"/>
        <v>4.1232488485709879</v>
      </c>
      <c r="J85">
        <f t="shared" si="31"/>
        <v>8.3552916685820549</v>
      </c>
    </row>
    <row r="86" spans="1:10" x14ac:dyDescent="0.45">
      <c r="A86" s="3"/>
      <c r="B86" s="3"/>
      <c r="C86">
        <v>7</v>
      </c>
      <c r="D86">
        <v>32355.162730194239</v>
      </c>
      <c r="E86">
        <v>13439.8368263872</v>
      </c>
      <c r="F86">
        <v>25413.798327047371</v>
      </c>
      <c r="H86">
        <f t="shared" si="26"/>
        <v>10.257217814655881</v>
      </c>
      <c r="I86">
        <f t="shared" si="30"/>
        <v>4.2606904768566851</v>
      </c>
      <c r="J86">
        <f t="shared" si="31"/>
        <v>8.0566698771382512</v>
      </c>
    </row>
    <row r="87" spans="1:10" x14ac:dyDescent="0.45">
      <c r="A87" s="3"/>
      <c r="B87" s="3"/>
      <c r="C87">
        <v>8</v>
      </c>
      <c r="D87">
        <v>32355.162730194239</v>
      </c>
      <c r="E87">
        <v>13439.8368263872</v>
      </c>
      <c r="F87">
        <v>23549.33084568696</v>
      </c>
      <c r="H87">
        <f t="shared" si="26"/>
        <v>10.257217814655881</v>
      </c>
      <c r="I87">
        <f t="shared" si="30"/>
        <v>4.2606904768566851</v>
      </c>
      <c r="J87">
        <f t="shared" si="31"/>
        <v>7.465597310941277</v>
      </c>
    </row>
    <row r="88" spans="1:10" x14ac:dyDescent="0.45">
      <c r="A88" s="3"/>
      <c r="B88" s="3"/>
      <c r="C88">
        <v>9</v>
      </c>
      <c r="D88">
        <v>31311.447803413688</v>
      </c>
      <c r="E88">
        <v>13006.29370295536</v>
      </c>
      <c r="F88">
        <v>21926.668851408718</v>
      </c>
      <c r="H88">
        <f t="shared" si="26"/>
        <v>9.9263398206346949</v>
      </c>
      <c r="I88">
        <f t="shared" si="30"/>
        <v>4.1232488485709879</v>
      </c>
      <c r="J88">
        <f t="shared" si="31"/>
        <v>6.9511818016246316</v>
      </c>
    </row>
    <row r="89" spans="1:10" x14ac:dyDescent="0.45">
      <c r="A89" s="3"/>
      <c r="B89" s="3"/>
      <c r="C89">
        <v>10</v>
      </c>
      <c r="D89">
        <v>32355.162730194239</v>
      </c>
      <c r="E89">
        <v>13439.8368263872</v>
      </c>
      <c r="F89">
        <v>24609.07481389054</v>
      </c>
      <c r="H89">
        <f t="shared" si="26"/>
        <v>10.257217814655881</v>
      </c>
      <c r="I89">
        <f t="shared" si="30"/>
        <v>4.2606904768566851</v>
      </c>
      <c r="J89">
        <f t="shared" si="31"/>
        <v>7.801556823810234</v>
      </c>
    </row>
    <row r="90" spans="1:10" x14ac:dyDescent="0.45">
      <c r="A90" s="3"/>
      <c r="B90" s="3"/>
      <c r="C90">
        <v>11</v>
      </c>
      <c r="D90">
        <v>31311.44780341367</v>
      </c>
      <c r="E90">
        <v>13006.29370295536</v>
      </c>
      <c r="F90">
        <v>22980.718867071329</v>
      </c>
      <c r="H90">
        <f t="shared" si="26"/>
        <v>9.9263398206346896</v>
      </c>
      <c r="I90">
        <f t="shared" si="30"/>
        <v>4.1232488485709879</v>
      </c>
      <c r="J90">
        <f t="shared" si="31"/>
        <v>7.2853362204526135</v>
      </c>
    </row>
    <row r="91" spans="1:10" x14ac:dyDescent="0.45">
      <c r="A91" s="3"/>
      <c r="B91" s="3"/>
      <c r="C91">
        <v>12</v>
      </c>
      <c r="D91">
        <v>32355.162730194221</v>
      </c>
      <c r="E91">
        <v>13439.8368263872</v>
      </c>
      <c r="F91">
        <v>20677.619244254791</v>
      </c>
      <c r="H91">
        <f t="shared" si="26"/>
        <v>10.257217814655876</v>
      </c>
      <c r="I91">
        <f t="shared" si="30"/>
        <v>4.2606904768566851</v>
      </c>
      <c r="J91">
        <f t="shared" si="31"/>
        <v>6.5552087079726533</v>
      </c>
    </row>
    <row r="92" spans="1:10" s="1" customFormat="1" x14ac:dyDescent="0.45">
      <c r="A92" s="1" t="s">
        <v>3</v>
      </c>
      <c r="D92" s="1">
        <f t="shared" ref="D92" si="32">SUM(D80:D91)</f>
        <v>380955.94827486697</v>
      </c>
      <c r="E92" s="1">
        <f t="shared" ref="E92" si="33">SUM(E80:E91)</f>
        <v>158243.24005262353</v>
      </c>
      <c r="F92" s="1">
        <f t="shared" ref="F92" si="34">SUM(F80:F91)</f>
        <v>277351.27414024831</v>
      </c>
    </row>
    <row r="93" spans="1:10" x14ac:dyDescent="0.45">
      <c r="A93" s="3" t="s">
        <v>19</v>
      </c>
      <c r="B93" s="3" t="s">
        <v>20</v>
      </c>
      <c r="C93">
        <v>1</v>
      </c>
      <c r="D93">
        <v>203333.0435858834</v>
      </c>
      <c r="E93">
        <v>84461.418104898941</v>
      </c>
      <c r="F93">
        <v>136308.17393182329</v>
      </c>
      <c r="G93">
        <v>12013.04</v>
      </c>
      <c r="H93">
        <f t="shared" si="26"/>
        <v>64.460541718462352</v>
      </c>
      <c r="I93">
        <f t="shared" ref="I93:I104" si="35">E93/$G$2</f>
        <v>26.775917329205388</v>
      </c>
      <c r="J93">
        <f t="shared" ref="J93:J104" si="36">F93/$G$2</f>
        <v>43.212350424433076</v>
      </c>
    </row>
    <row r="94" spans="1:10" x14ac:dyDescent="0.45">
      <c r="A94" s="3"/>
      <c r="B94" s="3"/>
      <c r="C94">
        <v>2</v>
      </c>
      <c r="D94">
        <v>183655.65227111589</v>
      </c>
      <c r="E94">
        <v>76287.732481841056</v>
      </c>
      <c r="F94">
        <v>126217.1848957968</v>
      </c>
      <c r="H94">
        <f t="shared" si="26"/>
        <v>58.222424777964541</v>
      </c>
      <c r="I94">
        <f t="shared" si="35"/>
        <v>24.184699523152254</v>
      </c>
      <c r="J94">
        <f t="shared" si="36"/>
        <v>40.013310031066872</v>
      </c>
    </row>
    <row r="95" spans="1:10" x14ac:dyDescent="0.45">
      <c r="A95" s="3"/>
      <c r="B95" s="3"/>
      <c r="C95">
        <v>3</v>
      </c>
      <c r="D95">
        <v>203333.0435858836</v>
      </c>
      <c r="E95">
        <v>84461.418104898941</v>
      </c>
      <c r="F95">
        <v>157308.16586964979</v>
      </c>
      <c r="H95">
        <f t="shared" si="26"/>
        <v>64.460541718462409</v>
      </c>
      <c r="I95">
        <f t="shared" si="35"/>
        <v>26.775917329205388</v>
      </c>
      <c r="J95">
        <f t="shared" si="36"/>
        <v>49.869757565559539</v>
      </c>
    </row>
    <row r="96" spans="1:10" x14ac:dyDescent="0.45">
      <c r="A96" s="3"/>
      <c r="B96" s="3"/>
      <c r="C96">
        <v>4</v>
      </c>
      <c r="D96">
        <v>196773.9131476277</v>
      </c>
      <c r="E96">
        <v>81736.856230546313</v>
      </c>
      <c r="F96">
        <v>158325.31978390849</v>
      </c>
      <c r="H96">
        <f t="shared" si="26"/>
        <v>62.381169404963124</v>
      </c>
      <c r="I96">
        <f t="shared" si="35"/>
        <v>25.912178060521011</v>
      </c>
      <c r="J96">
        <f t="shared" si="36"/>
        <v>50.192215200422396</v>
      </c>
    </row>
    <row r="97" spans="1:10" x14ac:dyDescent="0.45">
      <c r="A97" s="3"/>
      <c r="B97" s="3"/>
      <c r="C97">
        <v>5</v>
      </c>
      <c r="D97">
        <v>203333.0435858836</v>
      </c>
      <c r="E97">
        <v>84461.418104898941</v>
      </c>
      <c r="F97">
        <v>186319.87121444309</v>
      </c>
      <c r="H97">
        <f t="shared" si="26"/>
        <v>64.460541718462409</v>
      </c>
      <c r="I97">
        <f t="shared" si="35"/>
        <v>26.775917329205388</v>
      </c>
      <c r="J97">
        <f t="shared" si="36"/>
        <v>59.067034160260647</v>
      </c>
    </row>
    <row r="98" spans="1:10" x14ac:dyDescent="0.45">
      <c r="A98" s="3"/>
      <c r="B98" s="3"/>
      <c r="C98">
        <v>6</v>
      </c>
      <c r="D98">
        <v>196773.9131476277</v>
      </c>
      <c r="E98">
        <v>81736.856230546313</v>
      </c>
      <c r="F98">
        <v>178726.61022196591</v>
      </c>
      <c r="H98">
        <f t="shared" si="26"/>
        <v>62.381169404963124</v>
      </c>
      <c r="I98">
        <f t="shared" si="35"/>
        <v>25.912178060521011</v>
      </c>
      <c r="J98">
        <f t="shared" si="36"/>
        <v>56.659822285826628</v>
      </c>
    </row>
    <row r="99" spans="1:10" x14ac:dyDescent="0.45">
      <c r="A99" s="3"/>
      <c r="B99" s="3"/>
      <c r="C99">
        <v>7</v>
      </c>
      <c r="D99">
        <v>203333.0435858836</v>
      </c>
      <c r="E99">
        <v>84461.418104898941</v>
      </c>
      <c r="F99">
        <v>172006.75847910569</v>
      </c>
      <c r="H99">
        <f t="shared" si="26"/>
        <v>64.460541718462409</v>
      </c>
      <c r="I99">
        <f t="shared" si="35"/>
        <v>26.775917329205388</v>
      </c>
      <c r="J99">
        <f t="shared" si="36"/>
        <v>54.529498183194661</v>
      </c>
    </row>
    <row r="100" spans="1:10" x14ac:dyDescent="0.45">
      <c r="A100" s="3"/>
      <c r="B100" s="3"/>
      <c r="C100">
        <v>8</v>
      </c>
      <c r="D100">
        <v>203333.0435858836</v>
      </c>
      <c r="E100">
        <v>84461.418104898941</v>
      </c>
      <c r="F100">
        <v>160728.36558618161</v>
      </c>
      <c r="H100">
        <f t="shared" si="26"/>
        <v>64.460541718462409</v>
      </c>
      <c r="I100">
        <f t="shared" si="35"/>
        <v>26.775917329205388</v>
      </c>
      <c r="J100">
        <f t="shared" si="36"/>
        <v>50.954027601678149</v>
      </c>
    </row>
    <row r="101" spans="1:10" x14ac:dyDescent="0.45">
      <c r="A101" s="3"/>
      <c r="B101" s="3"/>
      <c r="C101">
        <v>9</v>
      </c>
      <c r="D101">
        <v>196773.9131476277</v>
      </c>
      <c r="E101">
        <v>81736.856230546313</v>
      </c>
      <c r="F101">
        <v>150745.8994094645</v>
      </c>
      <c r="H101">
        <f t="shared" si="26"/>
        <v>62.381169404963124</v>
      </c>
      <c r="I101">
        <f t="shared" si="35"/>
        <v>25.912178060521011</v>
      </c>
      <c r="J101">
        <f t="shared" si="36"/>
        <v>47.789391071926786</v>
      </c>
    </row>
    <row r="102" spans="1:10" x14ac:dyDescent="0.45">
      <c r="A102" s="3"/>
      <c r="B102" s="3"/>
      <c r="C102">
        <v>10</v>
      </c>
      <c r="D102">
        <v>203333.0435858836</v>
      </c>
      <c r="E102">
        <v>84461.418104898941</v>
      </c>
      <c r="F102">
        <v>168223.57686745989</v>
      </c>
      <c r="H102">
        <f t="shared" si="26"/>
        <v>64.460541718462409</v>
      </c>
      <c r="I102">
        <f t="shared" si="35"/>
        <v>26.775917329205388</v>
      </c>
      <c r="J102">
        <f t="shared" si="36"/>
        <v>53.330155804772978</v>
      </c>
    </row>
    <row r="103" spans="1:10" x14ac:dyDescent="0.45">
      <c r="A103" s="3"/>
      <c r="B103" s="3"/>
      <c r="C103">
        <v>11</v>
      </c>
      <c r="D103">
        <v>196773.91314762761</v>
      </c>
      <c r="E103">
        <v>81736.856230546313</v>
      </c>
      <c r="F103">
        <v>157123.73737867631</v>
      </c>
      <c r="H103">
        <f t="shared" si="26"/>
        <v>62.381169404963096</v>
      </c>
      <c r="I103">
        <f t="shared" si="35"/>
        <v>25.912178060521011</v>
      </c>
      <c r="J103">
        <f t="shared" si="36"/>
        <v>49.811290135835314</v>
      </c>
    </row>
    <row r="104" spans="1:10" x14ac:dyDescent="0.45">
      <c r="A104" s="3"/>
      <c r="B104" s="3"/>
      <c r="C104">
        <v>12</v>
      </c>
      <c r="D104">
        <v>203333.0435858834</v>
      </c>
      <c r="E104">
        <v>84461.418104898941</v>
      </c>
      <c r="F104">
        <v>141846.56137371159</v>
      </c>
      <c r="H104">
        <f t="shared" si="26"/>
        <v>64.460541718462352</v>
      </c>
      <c r="I104">
        <f t="shared" si="35"/>
        <v>26.775917329205388</v>
      </c>
      <c r="J104">
        <f t="shared" si="36"/>
        <v>44.968127294020221</v>
      </c>
    </row>
    <row r="105" spans="1:10" s="1" customFormat="1" x14ac:dyDescent="0.45">
      <c r="A105" s="1" t="s">
        <v>3</v>
      </c>
      <c r="D105" s="1">
        <f t="shared" ref="D105" si="37">SUM(D93:D104)</f>
        <v>2394082.6099628117</v>
      </c>
      <c r="E105" s="1">
        <f t="shared" ref="E105" si="38">SUM(E93:E104)</f>
        <v>994465.08413831866</v>
      </c>
      <c r="F105" s="1">
        <f t="shared" ref="F105" si="39">SUM(F93:F104)</f>
        <v>1893880.2250121869</v>
      </c>
    </row>
  </sheetData>
  <mergeCells count="16">
    <mergeCell ref="A2:A13"/>
    <mergeCell ref="B2:B13"/>
    <mergeCell ref="A15:A26"/>
    <mergeCell ref="B15:B26"/>
    <mergeCell ref="A28:A39"/>
    <mergeCell ref="B28:B39"/>
    <mergeCell ref="A80:A91"/>
    <mergeCell ref="A93:A104"/>
    <mergeCell ref="B93:B104"/>
    <mergeCell ref="B80:B91"/>
    <mergeCell ref="A41:A52"/>
    <mergeCell ref="B41:B52"/>
    <mergeCell ref="A54:A65"/>
    <mergeCell ref="B54:B65"/>
    <mergeCell ref="A67:A78"/>
    <mergeCell ref="B67:B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"/>
  <sheetViews>
    <sheetView zoomScaleNormal="100" workbookViewId="0">
      <pane ySplit="1" topLeftCell="A2" activePane="bottomLeft" state="frozen"/>
      <selection pane="bottomLeft" activeCell="H2" sqref="H2:J2"/>
    </sheetView>
  </sheetViews>
  <sheetFormatPr defaultRowHeight="14.25" x14ac:dyDescent="0.45"/>
  <cols>
    <col min="4" max="4" width="15.1328125" customWidth="1"/>
    <col min="5" max="5" width="13.1328125" customWidth="1"/>
  </cols>
  <sheetData>
    <row r="1" spans="1:10" x14ac:dyDescent="0.45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4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45">
      <c r="A2" s="3" t="s">
        <v>21</v>
      </c>
      <c r="B2" s="3" t="s">
        <v>22</v>
      </c>
      <c r="C2">
        <v>1</v>
      </c>
      <c r="D2">
        <v>128128.2814066314</v>
      </c>
      <c r="E2">
        <v>64101.495887401768</v>
      </c>
      <c r="F2">
        <v>70618.871760262293</v>
      </c>
      <c r="G2">
        <v>12050.08</v>
      </c>
      <c r="H2">
        <f>D2/$G$2</f>
        <v>10.63298180648024</v>
      </c>
      <c r="I2">
        <f>E2/$G$2</f>
        <v>5.3195908979360942</v>
      </c>
      <c r="J2">
        <f>F2/$G$2</f>
        <v>5.8604483754682368</v>
      </c>
    </row>
    <row r="3" spans="1:10" x14ac:dyDescent="0.45">
      <c r="A3" s="3"/>
      <c r="B3" s="3"/>
      <c r="C3">
        <v>2</v>
      </c>
      <c r="D3">
        <v>115728.7703027645</v>
      </c>
      <c r="E3">
        <v>57898.125317653139</v>
      </c>
      <c r="F3">
        <v>72057.865361101314</v>
      </c>
      <c r="H3">
        <f t="shared" ref="H3:H13" si="0">D3/$G$2</f>
        <v>9.6039835671434961</v>
      </c>
      <c r="I3">
        <f t="shared" ref="I3:I13" si="1">E3/$G$2</f>
        <v>4.8047917787809826</v>
      </c>
      <c r="J3">
        <f t="shared" ref="J3:J13" si="2">F3/$G$2</f>
        <v>5.9798661387394372</v>
      </c>
    </row>
    <row r="4" spans="1:10" x14ac:dyDescent="0.45">
      <c r="A4" s="3"/>
      <c r="B4" s="3"/>
      <c r="C4">
        <v>3</v>
      </c>
      <c r="D4">
        <v>128128.2814066314</v>
      </c>
      <c r="E4">
        <v>64101.495887401761</v>
      </c>
      <c r="F4">
        <v>92643.444364239971</v>
      </c>
      <c r="H4">
        <f t="shared" si="0"/>
        <v>10.63298180648024</v>
      </c>
      <c r="I4">
        <f t="shared" si="1"/>
        <v>5.3195908979360933</v>
      </c>
      <c r="J4">
        <f t="shared" si="2"/>
        <v>7.6882016023329278</v>
      </c>
    </row>
    <row r="5" spans="1:10" x14ac:dyDescent="0.45">
      <c r="A5" s="3"/>
      <c r="B5" s="3"/>
      <c r="C5">
        <v>4</v>
      </c>
      <c r="D5">
        <v>123995.11103867579</v>
      </c>
      <c r="E5">
        <v>62033.705697485551</v>
      </c>
      <c r="F5">
        <v>99667.888005791814</v>
      </c>
      <c r="H5">
        <f t="shared" si="0"/>
        <v>10.289982393367994</v>
      </c>
      <c r="I5">
        <f t="shared" si="1"/>
        <v>5.1479911915510561</v>
      </c>
      <c r="J5">
        <f t="shared" si="2"/>
        <v>8.2711391132500207</v>
      </c>
    </row>
    <row r="6" spans="1:10" x14ac:dyDescent="0.45">
      <c r="A6" s="3"/>
      <c r="B6" s="3"/>
      <c r="C6">
        <v>5</v>
      </c>
      <c r="D6">
        <v>128128.2814066314</v>
      </c>
      <c r="E6">
        <v>64101.495887401761</v>
      </c>
      <c r="F6">
        <v>123464.09307945509</v>
      </c>
      <c r="H6">
        <f t="shared" si="0"/>
        <v>10.63298180648024</v>
      </c>
      <c r="I6">
        <f t="shared" si="1"/>
        <v>5.3195908979360933</v>
      </c>
      <c r="J6">
        <f t="shared" si="2"/>
        <v>10.245914805499639</v>
      </c>
    </row>
    <row r="7" spans="1:10" x14ac:dyDescent="0.45">
      <c r="A7" s="3"/>
      <c r="B7" s="3"/>
      <c r="C7">
        <v>6</v>
      </c>
      <c r="D7">
        <v>123995.11103867579</v>
      </c>
      <c r="E7">
        <v>62033.705697485551</v>
      </c>
      <c r="F7">
        <v>119756.77190218421</v>
      </c>
      <c r="H7">
        <f t="shared" si="0"/>
        <v>10.289982393367994</v>
      </c>
      <c r="I7">
        <f t="shared" si="1"/>
        <v>5.1479911915510561</v>
      </c>
      <c r="J7">
        <f t="shared" si="2"/>
        <v>9.9382553395649005</v>
      </c>
    </row>
    <row r="8" spans="1:10" x14ac:dyDescent="0.45">
      <c r="A8" s="3"/>
      <c r="B8" s="3"/>
      <c r="C8">
        <v>7</v>
      </c>
      <c r="D8">
        <v>128128.2814066314</v>
      </c>
      <c r="E8">
        <v>64101.495887401761</v>
      </c>
      <c r="F8">
        <v>113357.9830852234</v>
      </c>
      <c r="H8">
        <f t="shared" si="0"/>
        <v>10.63298180648024</v>
      </c>
      <c r="I8">
        <f t="shared" si="1"/>
        <v>5.3195908979360933</v>
      </c>
      <c r="J8">
        <f t="shared" si="2"/>
        <v>9.4072390461493534</v>
      </c>
    </row>
    <row r="9" spans="1:10" x14ac:dyDescent="0.45">
      <c r="A9" s="3"/>
      <c r="B9" s="3"/>
      <c r="C9">
        <v>8</v>
      </c>
      <c r="D9">
        <v>128128.2814066314</v>
      </c>
      <c r="E9">
        <v>64101.495887401761</v>
      </c>
      <c r="F9">
        <v>99637.358447893886</v>
      </c>
      <c r="H9">
        <f t="shared" si="0"/>
        <v>10.63298180648024</v>
      </c>
      <c r="I9">
        <f t="shared" si="1"/>
        <v>5.3195908979360933</v>
      </c>
      <c r="J9">
        <f t="shared" si="2"/>
        <v>8.2686055568007752</v>
      </c>
    </row>
    <row r="10" spans="1:10" x14ac:dyDescent="0.45">
      <c r="A10" s="3"/>
      <c r="B10" s="3"/>
      <c r="C10">
        <v>9</v>
      </c>
      <c r="D10">
        <v>123995.11103867579</v>
      </c>
      <c r="E10">
        <v>62033.705697485551</v>
      </c>
      <c r="F10">
        <v>91477.242824209199</v>
      </c>
      <c r="H10">
        <f t="shared" si="0"/>
        <v>10.289982393367994</v>
      </c>
      <c r="I10">
        <f t="shared" si="1"/>
        <v>5.1479911915510561</v>
      </c>
      <c r="J10">
        <f t="shared" si="2"/>
        <v>7.5914220340619485</v>
      </c>
    </row>
    <row r="11" spans="1:10" x14ac:dyDescent="0.45">
      <c r="A11" s="3"/>
      <c r="B11" s="3"/>
      <c r="C11">
        <v>10</v>
      </c>
      <c r="D11">
        <v>128128.2814066314</v>
      </c>
      <c r="E11">
        <v>64101.495887401761</v>
      </c>
      <c r="F11">
        <v>105915.2229020057</v>
      </c>
      <c r="H11">
        <f t="shared" si="0"/>
        <v>10.63298180648024</v>
      </c>
      <c r="I11">
        <f t="shared" si="1"/>
        <v>5.3195908979360933</v>
      </c>
      <c r="J11">
        <f t="shared" si="2"/>
        <v>8.7895867000057848</v>
      </c>
    </row>
    <row r="12" spans="1:10" x14ac:dyDescent="0.45">
      <c r="A12" s="3"/>
      <c r="B12" s="3"/>
      <c r="C12">
        <v>11</v>
      </c>
      <c r="D12">
        <v>123995.11103867579</v>
      </c>
      <c r="E12">
        <v>62033.705697485559</v>
      </c>
      <c r="F12">
        <v>96624.113984224867</v>
      </c>
      <c r="H12">
        <f t="shared" si="0"/>
        <v>10.289982393367994</v>
      </c>
      <c r="I12">
        <f t="shared" si="1"/>
        <v>5.147991191551057</v>
      </c>
      <c r="J12">
        <f t="shared" si="2"/>
        <v>8.0185454357336106</v>
      </c>
    </row>
    <row r="13" spans="1:10" x14ac:dyDescent="0.45">
      <c r="A13" s="3"/>
      <c r="B13" s="3"/>
      <c r="C13">
        <v>12</v>
      </c>
      <c r="D13">
        <v>128128.2814066314</v>
      </c>
      <c r="E13">
        <v>64101.495887401768</v>
      </c>
      <c r="F13">
        <v>79114.716005660346</v>
      </c>
      <c r="H13">
        <f t="shared" si="0"/>
        <v>10.63298180648024</v>
      </c>
      <c r="I13">
        <f t="shared" si="1"/>
        <v>5.3195908979360942</v>
      </c>
      <c r="J13">
        <f t="shared" si="2"/>
        <v>6.5654930096447783</v>
      </c>
    </row>
    <row r="14" spans="1:10" s="1" customFormat="1" x14ac:dyDescent="0.45">
      <c r="A14" s="1" t="s">
        <v>3</v>
      </c>
      <c r="D14" s="1">
        <f t="shared" ref="D14:F14" si="3">SUM(D2:D13)</f>
        <v>1508607.1843038877</v>
      </c>
      <c r="E14" s="1">
        <f t="shared" si="3"/>
        <v>754743.41931940767</v>
      </c>
      <c r="F14" s="1">
        <f t="shared" si="3"/>
        <v>1164335.5717222521</v>
      </c>
    </row>
    <row r="15" spans="1:10" x14ac:dyDescent="0.45">
      <c r="A15" s="3" t="s">
        <v>23</v>
      </c>
      <c r="B15" s="3" t="s">
        <v>24</v>
      </c>
      <c r="C15">
        <v>1</v>
      </c>
      <c r="D15">
        <v>68860.697397616357</v>
      </c>
      <c r="E15">
        <v>34450.424703879427</v>
      </c>
      <c r="F15">
        <v>38565.937838360856</v>
      </c>
      <c r="G15">
        <v>6476.14</v>
      </c>
      <c r="H15">
        <f>D15/$G$2</f>
        <v>5.7145427580245407</v>
      </c>
      <c r="I15">
        <f>E15/$G$2</f>
        <v>2.8589374264635112</v>
      </c>
      <c r="J15">
        <f>F15/$G$2</f>
        <v>3.2004715187252581</v>
      </c>
    </row>
    <row r="16" spans="1:10" x14ac:dyDescent="0.45">
      <c r="A16" s="3"/>
      <c r="B16" s="3"/>
      <c r="C16">
        <v>2</v>
      </c>
      <c r="D16">
        <v>62196.758939782492</v>
      </c>
      <c r="E16">
        <v>31116.512635761959</v>
      </c>
      <c r="F16">
        <v>39121.219017760777</v>
      </c>
      <c r="H16">
        <f t="shared" ref="H16:H26" si="4">D16/$G$2</f>
        <v>5.1615224911189381</v>
      </c>
      <c r="I16">
        <f t="shared" ref="I16:I26" si="5">E16/$G$2</f>
        <v>2.5822660626121952</v>
      </c>
      <c r="J16">
        <f t="shared" ref="J16:J26" si="6">F16/$G$2</f>
        <v>3.2465526384688546</v>
      </c>
    </row>
    <row r="17" spans="1:10" x14ac:dyDescent="0.45">
      <c r="A17" s="3"/>
      <c r="B17" s="3"/>
      <c r="C17">
        <v>3</v>
      </c>
      <c r="D17">
        <v>68860.697397616386</v>
      </c>
      <c r="E17">
        <v>34450.424703879427</v>
      </c>
      <c r="F17">
        <v>50895.265424761114</v>
      </c>
      <c r="H17">
        <f t="shared" si="4"/>
        <v>5.7145427580245434</v>
      </c>
      <c r="I17">
        <f t="shared" si="5"/>
        <v>2.8589374264635112</v>
      </c>
      <c r="J17">
        <f t="shared" si="6"/>
        <v>4.2236454384336959</v>
      </c>
    </row>
    <row r="18" spans="1:10" x14ac:dyDescent="0.45">
      <c r="A18" s="3"/>
      <c r="B18" s="3"/>
      <c r="C18">
        <v>4</v>
      </c>
      <c r="D18">
        <v>66639.384578338431</v>
      </c>
      <c r="E18">
        <v>33339.120681173568</v>
      </c>
      <c r="F18">
        <v>54498.703438147757</v>
      </c>
      <c r="H18">
        <f t="shared" si="4"/>
        <v>5.5302026690560089</v>
      </c>
      <c r="I18">
        <f t="shared" si="5"/>
        <v>2.7667136385130693</v>
      </c>
      <c r="J18">
        <f t="shared" si="6"/>
        <v>4.5226839521519988</v>
      </c>
    </row>
    <row r="19" spans="1:10" x14ac:dyDescent="0.45">
      <c r="A19" s="3"/>
      <c r="B19" s="3"/>
      <c r="C19">
        <v>5</v>
      </c>
      <c r="D19">
        <v>68860.697397616386</v>
      </c>
      <c r="E19">
        <v>34450.424703879427</v>
      </c>
      <c r="F19">
        <v>67911.015353248789</v>
      </c>
      <c r="H19">
        <f t="shared" si="4"/>
        <v>5.7145427580245434</v>
      </c>
      <c r="I19">
        <f t="shared" si="5"/>
        <v>2.8589374264635112</v>
      </c>
      <c r="J19">
        <f t="shared" si="6"/>
        <v>5.6357314933385334</v>
      </c>
    </row>
    <row r="20" spans="1:10" x14ac:dyDescent="0.45">
      <c r="A20" s="3"/>
      <c r="B20" s="3"/>
      <c r="C20">
        <v>6</v>
      </c>
      <c r="D20">
        <v>66639.384578338431</v>
      </c>
      <c r="E20">
        <v>33339.120681173568</v>
      </c>
      <c r="F20">
        <v>65729.029766351989</v>
      </c>
      <c r="H20">
        <f t="shared" si="4"/>
        <v>5.5302026690560089</v>
      </c>
      <c r="I20">
        <f t="shared" si="5"/>
        <v>2.7667136385130693</v>
      </c>
      <c r="J20">
        <f t="shared" si="6"/>
        <v>5.4546550534396445</v>
      </c>
    </row>
    <row r="21" spans="1:10" x14ac:dyDescent="0.45">
      <c r="A21" s="3"/>
      <c r="B21" s="3"/>
      <c r="C21">
        <v>7</v>
      </c>
      <c r="D21">
        <v>68860.697397616386</v>
      </c>
      <c r="E21">
        <v>34450.424703879427</v>
      </c>
      <c r="F21">
        <v>62383.508467803651</v>
      </c>
      <c r="H21">
        <f t="shared" si="4"/>
        <v>5.7145427580245434</v>
      </c>
      <c r="I21">
        <f t="shared" si="5"/>
        <v>2.8589374264635112</v>
      </c>
      <c r="J21">
        <f t="shared" si="6"/>
        <v>5.1770202743719258</v>
      </c>
    </row>
    <row r="22" spans="1:10" x14ac:dyDescent="0.45">
      <c r="A22" s="3"/>
      <c r="B22" s="3"/>
      <c r="C22">
        <v>8</v>
      </c>
      <c r="D22">
        <v>68860.697397616386</v>
      </c>
      <c r="E22">
        <v>34450.424703879427</v>
      </c>
      <c r="F22">
        <v>54723.356520940128</v>
      </c>
      <c r="H22">
        <f t="shared" si="4"/>
        <v>5.7145427580245434</v>
      </c>
      <c r="I22">
        <f t="shared" si="5"/>
        <v>2.8589374264635112</v>
      </c>
      <c r="J22">
        <f t="shared" si="6"/>
        <v>4.5413272377395115</v>
      </c>
    </row>
    <row r="23" spans="1:10" x14ac:dyDescent="0.45">
      <c r="A23" s="3"/>
      <c r="B23" s="3"/>
      <c r="C23">
        <v>9</v>
      </c>
      <c r="D23">
        <v>66639.384578338431</v>
      </c>
      <c r="E23">
        <v>33339.120681173568</v>
      </c>
      <c r="F23">
        <v>50375.751069141566</v>
      </c>
      <c r="H23">
        <f t="shared" si="4"/>
        <v>5.5302026690560089</v>
      </c>
      <c r="I23">
        <f t="shared" si="5"/>
        <v>2.7667136385130693</v>
      </c>
      <c r="J23">
        <f t="shared" si="6"/>
        <v>4.1805325001279297</v>
      </c>
    </row>
    <row r="24" spans="1:10" x14ac:dyDescent="0.45">
      <c r="A24" s="3"/>
      <c r="B24" s="3"/>
      <c r="C24">
        <v>10</v>
      </c>
      <c r="D24">
        <v>68860.697397616386</v>
      </c>
      <c r="E24">
        <v>34450.424703879427</v>
      </c>
      <c r="F24">
        <v>58404.960981512777</v>
      </c>
      <c r="H24">
        <f t="shared" si="4"/>
        <v>5.7145427580245434</v>
      </c>
      <c r="I24">
        <f t="shared" si="5"/>
        <v>2.8589374264635112</v>
      </c>
      <c r="J24">
        <f t="shared" si="6"/>
        <v>4.846852550482053</v>
      </c>
    </row>
    <row r="25" spans="1:10" x14ac:dyDescent="0.45">
      <c r="A25" s="3"/>
      <c r="B25" s="3"/>
      <c r="C25">
        <v>11</v>
      </c>
      <c r="D25">
        <v>66639.384578338402</v>
      </c>
      <c r="E25">
        <v>33339.120681173561</v>
      </c>
      <c r="F25">
        <v>53251.614406377703</v>
      </c>
      <c r="H25">
        <f t="shared" si="4"/>
        <v>5.5302026690560062</v>
      </c>
      <c r="I25">
        <f t="shared" si="5"/>
        <v>2.7667136385130688</v>
      </c>
      <c r="J25">
        <f t="shared" si="6"/>
        <v>4.4191917735299437</v>
      </c>
    </row>
    <row r="26" spans="1:10" x14ac:dyDescent="0.45">
      <c r="A26" s="3"/>
      <c r="B26" s="3"/>
      <c r="C26">
        <v>12</v>
      </c>
      <c r="D26">
        <v>68860.697397616357</v>
      </c>
      <c r="E26">
        <v>34450.424703879427</v>
      </c>
      <c r="F26">
        <v>43290.340126149284</v>
      </c>
      <c r="H26">
        <f t="shared" si="4"/>
        <v>5.7145427580245407</v>
      </c>
      <c r="I26">
        <f t="shared" si="5"/>
        <v>2.8589374264635112</v>
      </c>
      <c r="J26">
        <f t="shared" si="6"/>
        <v>3.5925354957103424</v>
      </c>
    </row>
    <row r="27" spans="1:10" s="1" customFormat="1" x14ac:dyDescent="0.45">
      <c r="A27" s="1" t="s">
        <v>3</v>
      </c>
      <c r="D27" s="1">
        <f t="shared" ref="D27" si="7">SUM(D15:D26)</f>
        <v>810779.17903645081</v>
      </c>
      <c r="E27" s="1">
        <f t="shared" ref="E27" si="8">SUM(E15:E26)</f>
        <v>405625.96828761231</v>
      </c>
      <c r="F27" s="1">
        <f t="shared" ref="F27" si="9">SUM(F15:F26)</f>
        <v>639150.70241055626</v>
      </c>
    </row>
    <row r="28" spans="1:10" x14ac:dyDescent="0.45">
      <c r="A28" s="3" t="s">
        <v>25</v>
      </c>
      <c r="B28" s="3" t="s">
        <v>26</v>
      </c>
      <c r="C28">
        <v>1</v>
      </c>
      <c r="D28">
        <v>204699.6037721702</v>
      </c>
      <c r="E28">
        <v>102409.48107085039</v>
      </c>
      <c r="F28">
        <v>100761.7801332527</v>
      </c>
      <c r="G28">
        <v>19251.36</v>
      </c>
      <c r="H28">
        <f>D28/$G$2</f>
        <v>16.987406205782055</v>
      </c>
      <c r="I28">
        <f>E28/$G$2</f>
        <v>8.4986556994518203</v>
      </c>
      <c r="J28">
        <f>F28/$G$2</f>
        <v>8.3619179402338162</v>
      </c>
    </row>
    <row r="29" spans="1:10" x14ac:dyDescent="0.45">
      <c r="A29" s="3"/>
      <c r="B29" s="3"/>
      <c r="C29">
        <v>2</v>
      </c>
      <c r="D29">
        <v>184889.96469744141</v>
      </c>
      <c r="E29">
        <v>92498.88612850997</v>
      </c>
      <c r="F29">
        <v>102654.3824618043</v>
      </c>
      <c r="H29">
        <f t="shared" ref="H29:H39" si="10">D29/$G$2</f>
        <v>15.343463669738409</v>
      </c>
      <c r="I29">
        <f t="shared" ref="I29:I39" si="11">E29/$G$2</f>
        <v>7.6762051478919622</v>
      </c>
      <c r="J29">
        <f t="shared" ref="J29:J39" si="12">F29/$G$2</f>
        <v>8.5189793314072855</v>
      </c>
    </row>
    <row r="30" spans="1:10" x14ac:dyDescent="0.45">
      <c r="A30" s="3"/>
      <c r="B30" s="3"/>
      <c r="C30">
        <v>3</v>
      </c>
      <c r="D30">
        <v>204699.60377217029</v>
      </c>
      <c r="E30">
        <v>102409.4810708506</v>
      </c>
      <c r="F30">
        <v>127197.4415559787</v>
      </c>
      <c r="H30">
        <f t="shared" si="10"/>
        <v>16.987406205782062</v>
      </c>
      <c r="I30">
        <f t="shared" si="11"/>
        <v>8.4986556994518381</v>
      </c>
      <c r="J30">
        <f t="shared" si="12"/>
        <v>10.555734198941311</v>
      </c>
    </row>
    <row r="31" spans="1:10" x14ac:dyDescent="0.45">
      <c r="A31" s="3"/>
      <c r="B31" s="3"/>
      <c r="C31">
        <v>4</v>
      </c>
      <c r="D31">
        <v>198096.39074726071</v>
      </c>
      <c r="E31">
        <v>99105.949423403799</v>
      </c>
      <c r="F31">
        <v>135123.38429811719</v>
      </c>
      <c r="H31">
        <f t="shared" si="10"/>
        <v>16.439425360434182</v>
      </c>
      <c r="I31">
        <f t="shared" si="11"/>
        <v>8.2245055155985529</v>
      </c>
      <c r="J31">
        <f t="shared" si="12"/>
        <v>11.21348441654472</v>
      </c>
    </row>
    <row r="32" spans="1:10" x14ac:dyDescent="0.45">
      <c r="A32" s="3"/>
      <c r="B32" s="3"/>
      <c r="C32">
        <v>5</v>
      </c>
      <c r="D32">
        <v>204699.60377217029</v>
      </c>
      <c r="E32">
        <v>102409.4810708506</v>
      </c>
      <c r="F32">
        <v>166819.42596733451</v>
      </c>
      <c r="H32">
        <f t="shared" si="10"/>
        <v>16.987406205782062</v>
      </c>
      <c r="I32">
        <f t="shared" si="11"/>
        <v>8.4986556994518381</v>
      </c>
      <c r="J32">
        <f t="shared" si="12"/>
        <v>13.843843855587226</v>
      </c>
    </row>
    <row r="33" spans="1:10" x14ac:dyDescent="0.45">
      <c r="A33" s="3"/>
      <c r="B33" s="3"/>
      <c r="C33">
        <v>6</v>
      </c>
      <c r="D33">
        <v>198096.39074726071</v>
      </c>
      <c r="E33">
        <v>99105.949423403799</v>
      </c>
      <c r="F33">
        <v>162321.7750222506</v>
      </c>
      <c r="H33">
        <f t="shared" si="10"/>
        <v>16.439425360434182</v>
      </c>
      <c r="I33">
        <f t="shared" si="11"/>
        <v>8.2245055155985529</v>
      </c>
      <c r="J33">
        <f t="shared" si="12"/>
        <v>13.470597292486906</v>
      </c>
    </row>
    <row r="34" spans="1:10" x14ac:dyDescent="0.45">
      <c r="A34" s="3"/>
      <c r="B34" s="3"/>
      <c r="C34">
        <v>7</v>
      </c>
      <c r="D34">
        <v>204699.60377217029</v>
      </c>
      <c r="E34">
        <v>102409.4810708506</v>
      </c>
      <c r="F34">
        <v>152357.293321178</v>
      </c>
      <c r="H34">
        <f t="shared" si="10"/>
        <v>16.987406205782062</v>
      </c>
      <c r="I34">
        <f t="shared" si="11"/>
        <v>8.4986556994518381</v>
      </c>
      <c r="J34">
        <f t="shared" si="12"/>
        <v>12.643674840430769</v>
      </c>
    </row>
    <row r="35" spans="1:10" x14ac:dyDescent="0.45">
      <c r="A35" s="3"/>
      <c r="B35" s="3"/>
      <c r="C35">
        <v>8</v>
      </c>
      <c r="D35">
        <v>204699.60377217029</v>
      </c>
      <c r="E35">
        <v>102409.4810708506</v>
      </c>
      <c r="F35">
        <v>134776.0145712739</v>
      </c>
      <c r="H35">
        <f t="shared" si="10"/>
        <v>16.987406205782062</v>
      </c>
      <c r="I35">
        <f t="shared" si="11"/>
        <v>8.4986556994518381</v>
      </c>
      <c r="J35">
        <f t="shared" si="12"/>
        <v>11.184657244704923</v>
      </c>
    </row>
    <row r="36" spans="1:10" x14ac:dyDescent="0.45">
      <c r="A36" s="3"/>
      <c r="B36" s="3"/>
      <c r="C36">
        <v>9</v>
      </c>
      <c r="D36">
        <v>198096.39074726071</v>
      </c>
      <c r="E36">
        <v>99105.949423403799</v>
      </c>
      <c r="F36">
        <v>125455.6670911558</v>
      </c>
      <c r="H36">
        <f t="shared" si="10"/>
        <v>16.439425360434182</v>
      </c>
      <c r="I36">
        <f t="shared" si="11"/>
        <v>8.2245055155985529</v>
      </c>
      <c r="J36">
        <f t="shared" si="12"/>
        <v>10.411189559833279</v>
      </c>
    </row>
    <row r="37" spans="1:10" x14ac:dyDescent="0.45">
      <c r="A37" s="3"/>
      <c r="B37" s="3"/>
      <c r="C37">
        <v>10</v>
      </c>
      <c r="D37">
        <v>204699.60377217029</v>
      </c>
      <c r="E37">
        <v>102409.4810708506</v>
      </c>
      <c r="F37">
        <v>146747.48956628269</v>
      </c>
      <c r="H37">
        <f t="shared" si="10"/>
        <v>16.987406205782062</v>
      </c>
      <c r="I37">
        <f t="shared" si="11"/>
        <v>8.4986556994518381</v>
      </c>
      <c r="J37">
        <f t="shared" si="12"/>
        <v>12.178134051083701</v>
      </c>
    </row>
    <row r="38" spans="1:10" x14ac:dyDescent="0.45">
      <c r="A38" s="3"/>
      <c r="B38" s="3"/>
      <c r="C38">
        <v>11</v>
      </c>
      <c r="D38">
        <v>198096.39074726059</v>
      </c>
      <c r="E38">
        <v>99105.94942340361</v>
      </c>
      <c r="F38">
        <v>135044.4421449799</v>
      </c>
      <c r="H38">
        <f t="shared" si="10"/>
        <v>16.439425360434171</v>
      </c>
      <c r="I38">
        <f t="shared" si="11"/>
        <v>8.2245055155985369</v>
      </c>
      <c r="J38">
        <f t="shared" si="12"/>
        <v>11.20693324400999</v>
      </c>
    </row>
    <row r="39" spans="1:10" x14ac:dyDescent="0.45">
      <c r="A39" s="3"/>
      <c r="B39" s="3"/>
      <c r="C39">
        <v>12</v>
      </c>
      <c r="D39">
        <v>204699.6037721702</v>
      </c>
      <c r="E39">
        <v>102409.48107085039</v>
      </c>
      <c r="F39">
        <v>111949.8751123343</v>
      </c>
      <c r="H39">
        <f t="shared" si="10"/>
        <v>16.987406205782055</v>
      </c>
      <c r="I39">
        <f t="shared" si="11"/>
        <v>8.4986556994518203</v>
      </c>
      <c r="J39">
        <f t="shared" si="12"/>
        <v>9.2903843885131305</v>
      </c>
    </row>
    <row r="40" spans="1:10" s="1" customFormat="1" x14ac:dyDescent="0.45">
      <c r="A40" s="1" t="s">
        <v>3</v>
      </c>
      <c r="D40" s="1">
        <f t="shared" ref="D40" si="13">SUM(D28:D39)</f>
        <v>2410172.7540916763</v>
      </c>
      <c r="E40" s="1">
        <f t="shared" ref="E40" si="14">SUM(E28:E39)</f>
        <v>1205789.0513180788</v>
      </c>
      <c r="F40" s="1">
        <f t="shared" ref="F40" si="15">SUM(F28:F39)</f>
        <v>1601208.9712459426</v>
      </c>
    </row>
    <row r="41" spans="1:10" x14ac:dyDescent="0.45">
      <c r="A41" s="3" t="s">
        <v>27</v>
      </c>
      <c r="B41" s="3" t="s">
        <v>28</v>
      </c>
      <c r="C41">
        <v>1</v>
      </c>
      <c r="D41">
        <v>75185.226113860946</v>
      </c>
      <c r="E41">
        <v>37614.532947922882</v>
      </c>
      <c r="F41">
        <v>36388.988774214813</v>
      </c>
      <c r="G41">
        <v>7070.94</v>
      </c>
      <c r="H41">
        <f>D41/$G$2</f>
        <v>6.2393964283939152</v>
      </c>
      <c r="I41">
        <f>E41/$G$2</f>
        <v>3.1215172802108269</v>
      </c>
      <c r="J41">
        <f>F41/$G$2</f>
        <v>3.0198130447445006</v>
      </c>
    </row>
    <row r="42" spans="1:10" x14ac:dyDescent="0.45">
      <c r="A42" s="3"/>
      <c r="B42" s="3"/>
      <c r="C42">
        <v>2</v>
      </c>
      <c r="D42">
        <v>67909.236489941264</v>
      </c>
      <c r="E42">
        <v>33974.416856189047</v>
      </c>
      <c r="F42">
        <v>37705.177337605208</v>
      </c>
      <c r="H42">
        <f t="shared" ref="H42:H52" si="16">D42/$G$2</f>
        <v>5.6355838708076016</v>
      </c>
      <c r="I42">
        <f t="shared" ref="I42:I52" si="17">E42/$G$2</f>
        <v>2.8194349627711226</v>
      </c>
      <c r="J42">
        <f t="shared" ref="J42:J52" si="18">F42/$G$2</f>
        <v>3.1290395862604403</v>
      </c>
    </row>
    <row r="43" spans="1:10" x14ac:dyDescent="0.45">
      <c r="A43" s="3"/>
      <c r="B43" s="3"/>
      <c r="C43">
        <v>3</v>
      </c>
      <c r="D43">
        <v>75185.22611386099</v>
      </c>
      <c r="E43">
        <v>37614.532947922853</v>
      </c>
      <c r="F43">
        <v>45999.556510127477</v>
      </c>
      <c r="H43">
        <f t="shared" si="16"/>
        <v>6.2393964283939187</v>
      </c>
      <c r="I43">
        <f t="shared" si="17"/>
        <v>3.1215172802108246</v>
      </c>
      <c r="J43">
        <f t="shared" si="18"/>
        <v>3.817365238249661</v>
      </c>
    </row>
    <row r="44" spans="1:10" x14ac:dyDescent="0.45">
      <c r="A44" s="3"/>
      <c r="B44" s="3"/>
      <c r="C44">
        <v>4</v>
      </c>
      <c r="D44">
        <v>72759.896239221067</v>
      </c>
      <c r="E44">
        <v>36401.160917344918</v>
      </c>
      <c r="F44">
        <v>48865.759800897511</v>
      </c>
      <c r="H44">
        <f t="shared" si="16"/>
        <v>6.0381255758651449</v>
      </c>
      <c r="I44">
        <f t="shared" si="17"/>
        <v>3.0208231743975906</v>
      </c>
      <c r="J44">
        <f t="shared" si="18"/>
        <v>4.0552228533667423</v>
      </c>
    </row>
    <row r="45" spans="1:10" x14ac:dyDescent="0.45">
      <c r="A45" s="3"/>
      <c r="B45" s="3"/>
      <c r="C45">
        <v>5</v>
      </c>
      <c r="D45">
        <v>75185.226113860961</v>
      </c>
      <c r="E45">
        <v>37614.53294792286</v>
      </c>
      <c r="F45">
        <v>59611.890478959962</v>
      </c>
      <c r="H45">
        <f t="shared" si="16"/>
        <v>6.2393964283939161</v>
      </c>
      <c r="I45">
        <f t="shared" si="17"/>
        <v>3.1215172802108251</v>
      </c>
      <c r="J45">
        <f t="shared" si="18"/>
        <v>4.9470120097924628</v>
      </c>
    </row>
    <row r="46" spans="1:10" x14ac:dyDescent="0.45">
      <c r="A46" s="3"/>
      <c r="B46" s="3"/>
      <c r="C46">
        <v>6</v>
      </c>
      <c r="D46">
        <v>72759.896239221067</v>
      </c>
      <c r="E46">
        <v>36401.160917344918</v>
      </c>
      <c r="F46">
        <v>58371.879581213681</v>
      </c>
      <c r="H46">
        <f t="shared" si="16"/>
        <v>6.0381255758651449</v>
      </c>
      <c r="I46">
        <f t="shared" si="17"/>
        <v>3.0208231743975906</v>
      </c>
      <c r="J46">
        <f t="shared" si="18"/>
        <v>4.844107224285124</v>
      </c>
    </row>
    <row r="47" spans="1:10" x14ac:dyDescent="0.45">
      <c r="A47" s="3"/>
      <c r="B47" s="3"/>
      <c r="C47">
        <v>7</v>
      </c>
      <c r="D47">
        <v>75185.226113860961</v>
      </c>
      <c r="E47">
        <v>37614.53294792286</v>
      </c>
      <c r="F47">
        <v>55084.356320679442</v>
      </c>
      <c r="H47">
        <f t="shared" si="16"/>
        <v>6.2393964283939161</v>
      </c>
      <c r="I47">
        <f t="shared" si="17"/>
        <v>3.1215172802108251</v>
      </c>
      <c r="J47">
        <f t="shared" si="18"/>
        <v>4.5712855284512175</v>
      </c>
    </row>
    <row r="48" spans="1:10" x14ac:dyDescent="0.45">
      <c r="A48" s="3"/>
      <c r="B48" s="3"/>
      <c r="C48">
        <v>8</v>
      </c>
      <c r="D48">
        <v>75185.226113860961</v>
      </c>
      <c r="E48">
        <v>37614.53294792286</v>
      </c>
      <c r="F48">
        <v>48883.619467863318</v>
      </c>
      <c r="H48">
        <f t="shared" si="16"/>
        <v>6.2393964283939161</v>
      </c>
      <c r="I48">
        <f t="shared" si="17"/>
        <v>3.1215172802108251</v>
      </c>
      <c r="J48">
        <f t="shared" si="18"/>
        <v>4.056704973565596</v>
      </c>
    </row>
    <row r="49" spans="1:10" x14ac:dyDescent="0.45">
      <c r="A49" s="3"/>
      <c r="B49" s="3"/>
      <c r="C49">
        <v>9</v>
      </c>
      <c r="D49">
        <v>72759.896239221067</v>
      </c>
      <c r="E49">
        <v>36401.160917344918</v>
      </c>
      <c r="F49">
        <v>45374.004689811329</v>
      </c>
      <c r="H49">
        <f t="shared" si="16"/>
        <v>6.0381255758651449</v>
      </c>
      <c r="I49">
        <f t="shared" si="17"/>
        <v>3.0208231743975906</v>
      </c>
      <c r="J49">
        <f t="shared" si="18"/>
        <v>3.7654525687639691</v>
      </c>
    </row>
    <row r="50" spans="1:10" x14ac:dyDescent="0.45">
      <c r="A50" s="3"/>
      <c r="B50" s="3"/>
      <c r="C50">
        <v>10</v>
      </c>
      <c r="D50">
        <v>75185.226113860961</v>
      </c>
      <c r="E50">
        <v>37614.53294792286</v>
      </c>
      <c r="F50">
        <v>52882.198189533323</v>
      </c>
      <c r="H50">
        <f t="shared" si="16"/>
        <v>6.2393964283939161</v>
      </c>
      <c r="I50">
        <f t="shared" si="17"/>
        <v>3.1215172802108251</v>
      </c>
      <c r="J50">
        <f t="shared" si="18"/>
        <v>4.3885350296042285</v>
      </c>
    </row>
    <row r="51" spans="1:10" x14ac:dyDescent="0.45">
      <c r="A51" s="3"/>
      <c r="B51" s="3"/>
      <c r="C51">
        <v>11</v>
      </c>
      <c r="D51">
        <v>72759.896239221052</v>
      </c>
      <c r="E51">
        <v>36401.16091734494</v>
      </c>
      <c r="F51">
        <v>48248.123723171113</v>
      </c>
      <c r="H51">
        <f t="shared" si="16"/>
        <v>6.038125575865144</v>
      </c>
      <c r="I51">
        <f t="shared" si="17"/>
        <v>3.0208231743975924</v>
      </c>
      <c r="J51">
        <f t="shared" si="18"/>
        <v>4.003967087618598</v>
      </c>
    </row>
    <row r="52" spans="1:10" x14ac:dyDescent="0.45">
      <c r="A52" s="3"/>
      <c r="B52" s="3"/>
      <c r="C52">
        <v>12</v>
      </c>
      <c r="D52">
        <v>75185.226113860946</v>
      </c>
      <c r="E52">
        <v>37614.532947922882</v>
      </c>
      <c r="F52">
        <v>40268.249000804288</v>
      </c>
      <c r="H52">
        <f t="shared" si="16"/>
        <v>6.2393964283939152</v>
      </c>
      <c r="I52">
        <f t="shared" si="17"/>
        <v>3.1215172802108269</v>
      </c>
      <c r="J52">
        <f t="shared" si="18"/>
        <v>3.3417412167225686</v>
      </c>
    </row>
    <row r="53" spans="1:10" s="1" customFormat="1" x14ac:dyDescent="0.45">
      <c r="A53" s="1" t="s">
        <v>3</v>
      </c>
      <c r="D53" s="1">
        <f t="shared" ref="D53" si="19">SUM(D41:D52)</f>
        <v>885245.40424385236</v>
      </c>
      <c r="E53" s="1">
        <f t="shared" ref="E53" si="20">SUM(E41:E52)</f>
        <v>442880.79116102884</v>
      </c>
      <c r="F53" s="1">
        <f t="shared" ref="F53" si="21">SUM(F41:F52)</f>
        <v>577683.80387488147</v>
      </c>
    </row>
    <row r="54" spans="1:10" x14ac:dyDescent="0.45">
      <c r="A54" s="3" t="s">
        <v>29</v>
      </c>
      <c r="B54" s="3" t="s">
        <v>30</v>
      </c>
      <c r="C54">
        <v>1</v>
      </c>
      <c r="D54">
        <v>42661.221785456059</v>
      </c>
      <c r="E54">
        <v>21343.048566719252</v>
      </c>
      <c r="F54">
        <v>21049.290351012289</v>
      </c>
      <c r="G54">
        <v>4012.14</v>
      </c>
      <c r="H54">
        <f>D54/$G$2</f>
        <v>3.5403268513948505</v>
      </c>
      <c r="I54">
        <f>E54/$G$2</f>
        <v>1.7711955909603299</v>
      </c>
      <c r="J54">
        <f>F54/$G$2</f>
        <v>1.7468174776443217</v>
      </c>
    </row>
    <row r="55" spans="1:10" x14ac:dyDescent="0.45">
      <c r="A55" s="3"/>
      <c r="B55" s="3"/>
      <c r="C55">
        <v>2</v>
      </c>
      <c r="D55">
        <v>38532.716451379762</v>
      </c>
      <c r="E55">
        <v>19277.592253810952</v>
      </c>
      <c r="F55">
        <v>21750.619134906359</v>
      </c>
      <c r="H55">
        <f t="shared" ref="H55:H65" si="22">D55/$G$2</f>
        <v>3.1977145754534213</v>
      </c>
      <c r="I55">
        <f t="shared" ref="I55:I65" si="23">E55/$G$2</f>
        <v>1.5997895660286863</v>
      </c>
      <c r="J55">
        <f t="shared" ref="J55:J65" si="24">F55/$G$2</f>
        <v>1.80501865007588</v>
      </c>
    </row>
    <row r="56" spans="1:10" x14ac:dyDescent="0.45">
      <c r="A56" s="3"/>
      <c r="B56" s="3"/>
      <c r="C56">
        <v>3</v>
      </c>
      <c r="D56">
        <v>42661.221785456037</v>
      </c>
      <c r="E56">
        <v>21343.048566719252</v>
      </c>
      <c r="F56">
        <v>26943.740370575721</v>
      </c>
      <c r="H56">
        <f t="shared" si="22"/>
        <v>3.5403268513948487</v>
      </c>
      <c r="I56">
        <f t="shared" si="23"/>
        <v>1.7711955909603299</v>
      </c>
      <c r="J56">
        <f t="shared" si="24"/>
        <v>2.2359802068181889</v>
      </c>
    </row>
    <row r="57" spans="1:10" x14ac:dyDescent="0.45">
      <c r="A57" s="3"/>
      <c r="B57" s="3"/>
      <c r="C57">
        <v>4</v>
      </c>
      <c r="D57">
        <v>41285.053340763952</v>
      </c>
      <c r="E57">
        <v>20654.563129083152</v>
      </c>
      <c r="F57">
        <v>28725.326229289571</v>
      </c>
      <c r="H57">
        <f t="shared" si="22"/>
        <v>3.4261227594143735</v>
      </c>
      <c r="I57">
        <f t="shared" si="23"/>
        <v>1.7140602493164487</v>
      </c>
      <c r="J57">
        <f t="shared" si="24"/>
        <v>2.3838286741075221</v>
      </c>
    </row>
    <row r="58" spans="1:10" x14ac:dyDescent="0.45">
      <c r="A58" s="3"/>
      <c r="B58" s="3"/>
      <c r="C58">
        <v>5</v>
      </c>
      <c r="D58">
        <v>42661.221785456037</v>
      </c>
      <c r="E58">
        <v>21343.048566719252</v>
      </c>
      <c r="F58">
        <v>35280.743309735131</v>
      </c>
      <c r="H58">
        <f t="shared" si="22"/>
        <v>3.5403268513948487</v>
      </c>
      <c r="I58">
        <f t="shared" si="23"/>
        <v>1.7711955909603299</v>
      </c>
      <c r="J58">
        <f t="shared" si="24"/>
        <v>2.9278430773683768</v>
      </c>
    </row>
    <row r="59" spans="1:10" x14ac:dyDescent="0.45">
      <c r="A59" s="3"/>
      <c r="B59" s="3"/>
      <c r="C59">
        <v>6</v>
      </c>
      <c r="D59">
        <v>41285.053340763952</v>
      </c>
      <c r="E59">
        <v>20654.563129083152</v>
      </c>
      <c r="F59">
        <v>34474.176776262822</v>
      </c>
      <c r="H59">
        <f t="shared" si="22"/>
        <v>3.4261227594143735</v>
      </c>
      <c r="I59">
        <f t="shared" si="23"/>
        <v>1.7140602493164487</v>
      </c>
      <c r="J59">
        <f t="shared" si="24"/>
        <v>2.8609085397161533</v>
      </c>
    </row>
    <row r="60" spans="1:10" x14ac:dyDescent="0.45">
      <c r="A60" s="3"/>
      <c r="B60" s="3"/>
      <c r="C60">
        <v>7</v>
      </c>
      <c r="D60">
        <v>42661.221785456037</v>
      </c>
      <c r="E60">
        <v>21343.048566719252</v>
      </c>
      <c r="F60">
        <v>32540.73980184237</v>
      </c>
      <c r="H60">
        <f t="shared" si="22"/>
        <v>3.5403268513948487</v>
      </c>
      <c r="I60">
        <f t="shared" si="23"/>
        <v>1.7711955909603299</v>
      </c>
      <c r="J60">
        <f t="shared" si="24"/>
        <v>2.7004584037485535</v>
      </c>
    </row>
    <row r="61" spans="1:10" x14ac:dyDescent="0.45">
      <c r="A61" s="3"/>
      <c r="B61" s="3"/>
      <c r="C61">
        <v>8</v>
      </c>
      <c r="D61">
        <v>42661.221785456037</v>
      </c>
      <c r="E61">
        <v>21343.048566719252</v>
      </c>
      <c r="F61">
        <v>28688.735396335211</v>
      </c>
      <c r="H61">
        <f t="shared" si="22"/>
        <v>3.5403268513948487</v>
      </c>
      <c r="I61">
        <f t="shared" si="23"/>
        <v>1.7711955909603299</v>
      </c>
      <c r="J61">
        <f t="shared" si="24"/>
        <v>2.3807921106196153</v>
      </c>
    </row>
    <row r="62" spans="1:10" x14ac:dyDescent="0.45">
      <c r="A62" s="3"/>
      <c r="B62" s="3"/>
      <c r="C62">
        <v>9</v>
      </c>
      <c r="D62">
        <v>41285.053340763952</v>
      </c>
      <c r="E62">
        <v>20654.563129083152</v>
      </c>
      <c r="F62">
        <v>26587.487736759569</v>
      </c>
      <c r="H62">
        <f t="shared" si="22"/>
        <v>3.4261227594143735</v>
      </c>
      <c r="I62">
        <f t="shared" si="23"/>
        <v>1.7140602493164487</v>
      </c>
      <c r="J62">
        <f t="shared" si="24"/>
        <v>2.2064158691692977</v>
      </c>
    </row>
    <row r="63" spans="1:10" x14ac:dyDescent="0.45">
      <c r="A63" s="3"/>
      <c r="B63" s="3"/>
      <c r="C63">
        <v>10</v>
      </c>
      <c r="D63">
        <v>42661.221785456037</v>
      </c>
      <c r="E63">
        <v>21343.048566719252</v>
      </c>
      <c r="F63">
        <v>30898.305347142399</v>
      </c>
      <c r="H63">
        <f t="shared" si="22"/>
        <v>3.5403268513948487</v>
      </c>
      <c r="I63">
        <f t="shared" si="23"/>
        <v>1.7711955909603299</v>
      </c>
      <c r="J63">
        <f t="shared" si="24"/>
        <v>2.5641576941516071</v>
      </c>
    </row>
    <row r="64" spans="1:10" x14ac:dyDescent="0.45">
      <c r="A64" s="3"/>
      <c r="B64" s="3"/>
      <c r="C64">
        <v>11</v>
      </c>
      <c r="D64">
        <v>41285.053340763967</v>
      </c>
      <c r="E64">
        <v>20654.563129083152</v>
      </c>
      <c r="F64">
        <v>28201.232882826662</v>
      </c>
      <c r="H64">
        <f t="shared" si="22"/>
        <v>3.4261227594143744</v>
      </c>
      <c r="I64">
        <f t="shared" si="23"/>
        <v>1.7140602493164487</v>
      </c>
      <c r="J64">
        <f t="shared" si="24"/>
        <v>2.3403357390844426</v>
      </c>
    </row>
    <row r="65" spans="1:10" x14ac:dyDescent="0.45">
      <c r="A65" s="3"/>
      <c r="B65" s="3"/>
      <c r="C65">
        <v>12</v>
      </c>
      <c r="D65">
        <v>42661.221785456059</v>
      </c>
      <c r="E65">
        <v>21343.048566719252</v>
      </c>
      <c r="F65">
        <v>23312.208590060229</v>
      </c>
      <c r="H65">
        <f t="shared" si="22"/>
        <v>3.5403268513948505</v>
      </c>
      <c r="I65">
        <f t="shared" si="23"/>
        <v>1.7711955909603299</v>
      </c>
      <c r="J65">
        <f t="shared" si="24"/>
        <v>1.9346102756214256</v>
      </c>
    </row>
    <row r="66" spans="1:10" s="1" customFormat="1" x14ac:dyDescent="0.45">
      <c r="A66" s="1" t="s">
        <v>3</v>
      </c>
      <c r="D66" s="1">
        <f t="shared" ref="D66" si="25">SUM(D54:D65)</f>
        <v>502301.48231262795</v>
      </c>
      <c r="E66" s="1">
        <f t="shared" ref="E66" si="26">SUM(E54:E65)</f>
        <v>251297.18473717835</v>
      </c>
      <c r="F66" s="1">
        <f t="shared" ref="F66" si="27">SUM(F54:F65)</f>
        <v>338452.60592674831</v>
      </c>
    </row>
    <row r="67" spans="1:10" x14ac:dyDescent="0.45">
      <c r="A67" s="3" t="s">
        <v>31</v>
      </c>
      <c r="B67" s="3" t="s">
        <v>32</v>
      </c>
      <c r="C67">
        <v>1</v>
      </c>
      <c r="D67">
        <v>92583.737468716034</v>
      </c>
      <c r="E67">
        <v>46318.861077645917</v>
      </c>
      <c r="F67">
        <v>62025.058190936812</v>
      </c>
      <c r="G67">
        <v>8707.2000000000007</v>
      </c>
      <c r="H67">
        <f>D67/$G$2</f>
        <v>7.6832467061393812</v>
      </c>
      <c r="I67">
        <f>E67/$G$2</f>
        <v>3.8438633666868531</v>
      </c>
      <c r="J67">
        <f>F67/$G$2</f>
        <v>5.1472735609171734</v>
      </c>
    </row>
    <row r="68" spans="1:10" x14ac:dyDescent="0.45">
      <c r="A68" s="3"/>
      <c r="B68" s="3"/>
      <c r="C68">
        <v>2</v>
      </c>
      <c r="D68">
        <v>83624.020939484588</v>
      </c>
      <c r="E68">
        <v>41836.390650776957</v>
      </c>
      <c r="F68">
        <v>64239.594390609833</v>
      </c>
      <c r="H68">
        <f t="shared" ref="H68:H78" si="28">D68/$G$2</f>
        <v>6.9397067023193699</v>
      </c>
      <c r="I68">
        <f t="shared" ref="I68:I78" si="29">E68/$G$2</f>
        <v>3.4718765892655448</v>
      </c>
      <c r="J68">
        <f t="shared" ref="J68:J78" si="30">F68/$G$2</f>
        <v>5.3310512785483439</v>
      </c>
    </row>
    <row r="69" spans="1:10" x14ac:dyDescent="0.45">
      <c r="A69" s="3"/>
      <c r="B69" s="3"/>
      <c r="C69">
        <v>3</v>
      </c>
      <c r="D69">
        <v>92583.737468715975</v>
      </c>
      <c r="E69">
        <v>46318.861077645917</v>
      </c>
      <c r="F69">
        <v>84826.35203768668</v>
      </c>
      <c r="H69">
        <f t="shared" si="28"/>
        <v>7.6832467061393768</v>
      </c>
      <c r="I69">
        <f t="shared" si="29"/>
        <v>3.8438633666868531</v>
      </c>
      <c r="J69">
        <f t="shared" si="30"/>
        <v>7.039484554267414</v>
      </c>
    </row>
    <row r="70" spans="1:10" x14ac:dyDescent="0.45">
      <c r="A70" s="3"/>
      <c r="B70" s="3"/>
      <c r="C70">
        <v>4</v>
      </c>
      <c r="D70">
        <v>89597.165292305508</v>
      </c>
      <c r="E70">
        <v>44824.70426868958</v>
      </c>
      <c r="F70">
        <v>92594.451784732999</v>
      </c>
      <c r="H70">
        <f t="shared" si="28"/>
        <v>7.4354000381993739</v>
      </c>
      <c r="I70">
        <f t="shared" si="29"/>
        <v>3.7198677742130823</v>
      </c>
      <c r="J70">
        <f t="shared" si="30"/>
        <v>7.6841358550924976</v>
      </c>
    </row>
    <row r="71" spans="1:10" x14ac:dyDescent="0.45">
      <c r="A71" s="3"/>
      <c r="B71" s="3"/>
      <c r="C71">
        <v>5</v>
      </c>
      <c r="D71">
        <v>92583.73746871599</v>
      </c>
      <c r="E71">
        <v>46318.861077645903</v>
      </c>
      <c r="F71">
        <v>116948.77996865319</v>
      </c>
      <c r="H71">
        <f t="shared" si="28"/>
        <v>7.6832467061393777</v>
      </c>
      <c r="I71">
        <f t="shared" si="29"/>
        <v>3.8438633666868522</v>
      </c>
      <c r="J71">
        <f t="shared" si="30"/>
        <v>9.7052285104043463</v>
      </c>
    </row>
    <row r="72" spans="1:10" x14ac:dyDescent="0.45">
      <c r="A72" s="3"/>
      <c r="B72" s="3"/>
      <c r="C72">
        <v>6</v>
      </c>
      <c r="D72">
        <v>89597.165292305508</v>
      </c>
      <c r="E72">
        <v>44824.70426868958</v>
      </c>
      <c r="F72">
        <v>113886.7882395449</v>
      </c>
      <c r="H72">
        <f t="shared" si="28"/>
        <v>7.4354000381993739</v>
      </c>
      <c r="I72">
        <f t="shared" si="29"/>
        <v>3.7198677742130823</v>
      </c>
      <c r="J72">
        <f t="shared" si="30"/>
        <v>9.4511229999755102</v>
      </c>
    </row>
    <row r="73" spans="1:10" x14ac:dyDescent="0.45">
      <c r="A73" s="3"/>
      <c r="B73" s="3"/>
      <c r="C73">
        <v>7</v>
      </c>
      <c r="D73">
        <v>92583.73746871599</v>
      </c>
      <c r="E73">
        <v>46318.861077645903</v>
      </c>
      <c r="F73">
        <v>109002.116668824</v>
      </c>
      <c r="H73">
        <f t="shared" si="28"/>
        <v>7.6832467061393777</v>
      </c>
      <c r="I73">
        <f t="shared" si="29"/>
        <v>3.8438633666868522</v>
      </c>
      <c r="J73">
        <f t="shared" si="30"/>
        <v>9.0457587558608736</v>
      </c>
    </row>
    <row r="74" spans="1:10" x14ac:dyDescent="0.45">
      <c r="A74" s="3"/>
      <c r="B74" s="3"/>
      <c r="C74">
        <v>8</v>
      </c>
      <c r="D74">
        <v>92583.73746871599</v>
      </c>
      <c r="E74">
        <v>46318.861077645903</v>
      </c>
      <c r="F74">
        <v>93719.891143916117</v>
      </c>
      <c r="H74">
        <f t="shared" si="28"/>
        <v>7.6832467061393777</v>
      </c>
      <c r="I74">
        <f t="shared" si="29"/>
        <v>3.8438633666868522</v>
      </c>
      <c r="J74">
        <f t="shared" si="30"/>
        <v>7.7775326922241277</v>
      </c>
    </row>
    <row r="75" spans="1:10" x14ac:dyDescent="0.45">
      <c r="A75" s="3"/>
      <c r="B75" s="3"/>
      <c r="C75">
        <v>9</v>
      </c>
      <c r="D75">
        <v>89597.165292305508</v>
      </c>
      <c r="E75">
        <v>44824.70426868958</v>
      </c>
      <c r="F75">
        <v>84512.510174620344</v>
      </c>
      <c r="H75">
        <f t="shared" si="28"/>
        <v>7.4354000381993739</v>
      </c>
      <c r="I75">
        <f t="shared" si="29"/>
        <v>3.7198677742130823</v>
      </c>
      <c r="J75">
        <f t="shared" si="30"/>
        <v>7.0134397592895938</v>
      </c>
    </row>
    <row r="76" spans="1:10" x14ac:dyDescent="0.45">
      <c r="A76" s="3"/>
      <c r="B76" s="3"/>
      <c r="C76">
        <v>10</v>
      </c>
      <c r="D76">
        <v>92583.73746871599</v>
      </c>
      <c r="E76">
        <v>46318.861077645903</v>
      </c>
      <c r="F76">
        <v>98940.086379354601</v>
      </c>
      <c r="H76">
        <f t="shared" si="28"/>
        <v>7.6832467061393777</v>
      </c>
      <c r="I76">
        <f t="shared" si="29"/>
        <v>3.8438633666868522</v>
      </c>
      <c r="J76">
        <f t="shared" si="30"/>
        <v>8.210741039010081</v>
      </c>
    </row>
    <row r="77" spans="1:10" x14ac:dyDescent="0.45">
      <c r="A77" s="3"/>
      <c r="B77" s="3"/>
      <c r="C77">
        <v>11</v>
      </c>
      <c r="D77">
        <v>89597.165292305552</v>
      </c>
      <c r="E77">
        <v>44824.704268689587</v>
      </c>
      <c r="F77">
        <v>89489.08023393972</v>
      </c>
      <c r="H77">
        <f t="shared" si="28"/>
        <v>7.4354000381993774</v>
      </c>
      <c r="I77">
        <f t="shared" si="29"/>
        <v>3.7198677742130832</v>
      </c>
      <c r="J77">
        <f t="shared" si="30"/>
        <v>7.4264303833617467</v>
      </c>
    </row>
    <row r="78" spans="1:10" x14ac:dyDescent="0.45">
      <c r="A78" s="3"/>
      <c r="B78" s="3"/>
      <c r="C78">
        <v>12</v>
      </c>
      <c r="D78">
        <v>92583.737468716034</v>
      </c>
      <c r="E78">
        <v>46318.861077645917</v>
      </c>
      <c r="F78">
        <v>70672.681228230562</v>
      </c>
      <c r="H78">
        <f t="shared" si="28"/>
        <v>7.6832467061393812</v>
      </c>
      <c r="I78">
        <f t="shared" si="29"/>
        <v>3.8438633666868531</v>
      </c>
      <c r="J78">
        <f t="shared" si="30"/>
        <v>5.8649138618358183</v>
      </c>
    </row>
    <row r="79" spans="1:10" s="1" customFormat="1" x14ac:dyDescent="0.45">
      <c r="A79" s="1" t="s">
        <v>3</v>
      </c>
      <c r="D79" s="1">
        <f t="shared" ref="D79" si="31">SUM(D67:D78)</f>
        <v>1090098.8443897187</v>
      </c>
      <c r="E79" s="1">
        <f t="shared" ref="E79" si="32">SUM(E67:E78)</f>
        <v>545367.23526905663</v>
      </c>
      <c r="F79" s="1">
        <f t="shared" ref="F79" si="33">SUM(F67:F78)</f>
        <v>1080857.3904410496</v>
      </c>
    </row>
    <row r="80" spans="1:10" x14ac:dyDescent="0.45">
      <c r="A80" s="3" t="s">
        <v>33</v>
      </c>
      <c r="B80" s="3" t="s">
        <v>34</v>
      </c>
      <c r="C80">
        <v>1</v>
      </c>
      <c r="D80">
        <v>130205.77309084281</v>
      </c>
      <c r="E80">
        <v>65140.847412215378</v>
      </c>
      <c r="F80">
        <v>68824.420542416134</v>
      </c>
      <c r="G80">
        <v>12245.45</v>
      </c>
      <c r="H80">
        <f>D80/$G$2</f>
        <v>10.805386610781239</v>
      </c>
      <c r="I80">
        <f>E80/$G$2</f>
        <v>5.4058435638780304</v>
      </c>
      <c r="J80">
        <f>F80/$G$2</f>
        <v>5.711532250608804</v>
      </c>
    </row>
    <row r="81" spans="1:10" x14ac:dyDescent="0.45">
      <c r="A81" s="3"/>
      <c r="B81" s="3"/>
      <c r="C81">
        <v>2</v>
      </c>
      <c r="D81">
        <v>117605.2144046328</v>
      </c>
      <c r="E81">
        <v>58836.89443683924</v>
      </c>
      <c r="F81">
        <v>70059.157776768276</v>
      </c>
      <c r="H81">
        <f t="shared" ref="H81:H91" si="34">D81/$G$2</f>
        <v>9.7597040355443951</v>
      </c>
      <c r="I81">
        <f t="shared" ref="I81:I91" si="35">E81/$G$2</f>
        <v>4.8826974125349576</v>
      </c>
      <c r="J81">
        <f t="shared" ref="J81:J91" si="36">F81/$G$2</f>
        <v>5.813999390607222</v>
      </c>
    </row>
    <row r="82" spans="1:10" x14ac:dyDescent="0.45">
      <c r="A82" s="3"/>
      <c r="B82" s="3"/>
      <c r="C82">
        <v>3</v>
      </c>
      <c r="D82">
        <v>130205.77309084281</v>
      </c>
      <c r="E82">
        <v>65140.847412215408</v>
      </c>
      <c r="F82">
        <v>88599.562285217457</v>
      </c>
      <c r="H82">
        <f t="shared" si="34"/>
        <v>10.805386610781239</v>
      </c>
      <c r="I82">
        <f t="shared" si="35"/>
        <v>5.4058435638780331</v>
      </c>
      <c r="J82">
        <f t="shared" si="36"/>
        <v>7.3526119565361769</v>
      </c>
    </row>
    <row r="83" spans="1:10" x14ac:dyDescent="0.45">
      <c r="A83" s="3"/>
      <c r="B83" s="3"/>
      <c r="C83">
        <v>4</v>
      </c>
      <c r="D83">
        <v>126005.58686210609</v>
      </c>
      <c r="E83">
        <v>63039.529753756688</v>
      </c>
      <c r="F83">
        <v>94348.66966667831</v>
      </c>
      <c r="H83">
        <f t="shared" si="34"/>
        <v>10.456825752368955</v>
      </c>
      <c r="I83">
        <f t="shared" si="35"/>
        <v>5.2314615134303413</v>
      </c>
      <c r="J83">
        <f t="shared" si="36"/>
        <v>7.8297131360686656</v>
      </c>
    </row>
    <row r="84" spans="1:10" x14ac:dyDescent="0.45">
      <c r="A84" s="3"/>
      <c r="B84" s="3"/>
      <c r="C84">
        <v>5</v>
      </c>
      <c r="D84">
        <v>130205.77309084281</v>
      </c>
      <c r="E84">
        <v>65140.8474122154</v>
      </c>
      <c r="F84">
        <v>116563.0018557296</v>
      </c>
      <c r="H84">
        <f t="shared" si="34"/>
        <v>10.805386610781239</v>
      </c>
      <c r="I84">
        <f t="shared" si="35"/>
        <v>5.4058435638780322</v>
      </c>
      <c r="J84">
        <f t="shared" si="36"/>
        <v>9.6732139417937137</v>
      </c>
    </row>
    <row r="85" spans="1:10" x14ac:dyDescent="0.45">
      <c r="A85" s="3"/>
      <c r="B85" s="3"/>
      <c r="C85">
        <v>6</v>
      </c>
      <c r="D85">
        <v>126005.58686210609</v>
      </c>
      <c r="E85">
        <v>63039.529753756688</v>
      </c>
      <c r="F85">
        <v>112999.5719168697</v>
      </c>
      <c r="H85">
        <f t="shared" si="34"/>
        <v>10.456825752368955</v>
      </c>
      <c r="I85">
        <f t="shared" si="35"/>
        <v>5.2314615134303413</v>
      </c>
      <c r="J85">
        <f t="shared" si="36"/>
        <v>9.377495578192816</v>
      </c>
    </row>
    <row r="86" spans="1:10" x14ac:dyDescent="0.45">
      <c r="A86" s="3"/>
      <c r="B86" s="3"/>
      <c r="C86">
        <v>7</v>
      </c>
      <c r="D86">
        <v>130205.77309084281</v>
      </c>
      <c r="E86">
        <v>65140.8474122154</v>
      </c>
      <c r="F86">
        <v>106459.0573928285</v>
      </c>
      <c r="H86">
        <f t="shared" si="34"/>
        <v>10.805386610781239</v>
      </c>
      <c r="I86">
        <f t="shared" si="35"/>
        <v>5.4058435638780322</v>
      </c>
      <c r="J86">
        <f t="shared" si="36"/>
        <v>8.834717893393945</v>
      </c>
    </row>
    <row r="87" spans="1:10" x14ac:dyDescent="0.45">
      <c r="A87" s="3"/>
      <c r="B87" s="3"/>
      <c r="C87">
        <v>8</v>
      </c>
      <c r="D87">
        <v>130205.77309084281</v>
      </c>
      <c r="E87">
        <v>65140.8474122154</v>
      </c>
      <c r="F87">
        <v>94203.830020136811</v>
      </c>
      <c r="H87">
        <f t="shared" si="34"/>
        <v>10.805386610781239</v>
      </c>
      <c r="I87">
        <f t="shared" si="35"/>
        <v>5.4058435638780322</v>
      </c>
      <c r="J87">
        <f t="shared" si="36"/>
        <v>7.8176933281884278</v>
      </c>
    </row>
    <row r="88" spans="1:10" x14ac:dyDescent="0.45">
      <c r="A88" s="3"/>
      <c r="B88" s="3"/>
      <c r="C88">
        <v>9</v>
      </c>
      <c r="D88">
        <v>126005.58686210609</v>
      </c>
      <c r="E88">
        <v>63039.529753756688</v>
      </c>
      <c r="F88">
        <v>87445.489330494587</v>
      </c>
      <c r="H88">
        <f t="shared" si="34"/>
        <v>10.456825752368955</v>
      </c>
      <c r="I88">
        <f t="shared" si="35"/>
        <v>5.2314615134303413</v>
      </c>
      <c r="J88">
        <f t="shared" si="36"/>
        <v>7.2568389031852556</v>
      </c>
    </row>
    <row r="89" spans="1:10" x14ac:dyDescent="0.45">
      <c r="A89" s="3"/>
      <c r="B89" s="3"/>
      <c r="C89">
        <v>10</v>
      </c>
      <c r="D89">
        <v>130205.77309084281</v>
      </c>
      <c r="E89">
        <v>65140.8474122154</v>
      </c>
      <c r="F89">
        <v>101752.66063661339</v>
      </c>
      <c r="H89">
        <f t="shared" si="34"/>
        <v>10.805386610781239</v>
      </c>
      <c r="I89">
        <f t="shared" si="35"/>
        <v>5.4058435638780322</v>
      </c>
      <c r="J89">
        <f t="shared" si="36"/>
        <v>8.4441481414740309</v>
      </c>
    </row>
    <row r="90" spans="1:10" x14ac:dyDescent="0.45">
      <c r="A90" s="3"/>
      <c r="B90" s="3"/>
      <c r="C90">
        <v>11</v>
      </c>
      <c r="D90">
        <v>126005.58686210609</v>
      </c>
      <c r="E90">
        <v>63039.529753756658</v>
      </c>
      <c r="F90">
        <v>93130.848036613766</v>
      </c>
      <c r="H90">
        <f t="shared" si="34"/>
        <v>10.456825752368955</v>
      </c>
      <c r="I90">
        <f t="shared" si="35"/>
        <v>5.2314615134303386</v>
      </c>
      <c r="J90">
        <f t="shared" si="36"/>
        <v>7.7286497713387599</v>
      </c>
    </row>
    <row r="91" spans="1:10" x14ac:dyDescent="0.45">
      <c r="A91" s="3"/>
      <c r="B91" s="3"/>
      <c r="C91">
        <v>12</v>
      </c>
      <c r="D91">
        <v>130205.77309084281</v>
      </c>
      <c r="E91">
        <v>65140.847412215378</v>
      </c>
      <c r="F91">
        <v>76731.298077821091</v>
      </c>
      <c r="H91">
        <f t="shared" si="34"/>
        <v>10.805386610781239</v>
      </c>
      <c r="I91">
        <f t="shared" si="35"/>
        <v>5.4058435638780304</v>
      </c>
      <c r="J91">
        <f t="shared" si="36"/>
        <v>6.3677003038835505</v>
      </c>
    </row>
    <row r="92" spans="1:10" s="1" customFormat="1" x14ac:dyDescent="0.45">
      <c r="A92" s="1" t="s">
        <v>3</v>
      </c>
      <c r="D92" s="1">
        <f t="shared" ref="D92" si="37">SUM(D80:D91)</f>
        <v>1533067.9734889569</v>
      </c>
      <c r="E92" s="1">
        <f t="shared" ref="E92" si="38">SUM(E80:E91)</f>
        <v>766980.94533737388</v>
      </c>
      <c r="F92" s="1">
        <f t="shared" ref="F92" si="39">SUM(F80:F91)</f>
        <v>1111117.5675381876</v>
      </c>
    </row>
  </sheetData>
  <mergeCells count="14">
    <mergeCell ref="A2:A13"/>
    <mergeCell ref="B2:B13"/>
    <mergeCell ref="A15:A26"/>
    <mergeCell ref="B15:B26"/>
    <mergeCell ref="A28:A39"/>
    <mergeCell ref="B28:B39"/>
    <mergeCell ref="A80:A91"/>
    <mergeCell ref="B80:B91"/>
    <mergeCell ref="A41:A52"/>
    <mergeCell ref="B41:B52"/>
    <mergeCell ref="A54:A65"/>
    <mergeCell ref="B54:B65"/>
    <mergeCell ref="A67:A78"/>
    <mergeCell ref="B67:B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"/>
  <sheetViews>
    <sheetView workbookViewId="0">
      <pane ySplit="1" topLeftCell="A2" activePane="bottomLeft" state="frozen"/>
      <selection pane="bottomLeft" activeCell="H2" sqref="H2:J2"/>
    </sheetView>
  </sheetViews>
  <sheetFormatPr defaultRowHeight="14.25" x14ac:dyDescent="0.45"/>
  <cols>
    <col min="4" max="4" width="15.1328125" customWidth="1"/>
    <col min="5" max="5" width="13.46484375" customWidth="1"/>
  </cols>
  <sheetData>
    <row r="1" spans="1:10" x14ac:dyDescent="0.45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4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45">
      <c r="A2" s="3" t="s">
        <v>35</v>
      </c>
      <c r="B2" s="3" t="s">
        <v>36</v>
      </c>
      <c r="C2">
        <v>1</v>
      </c>
      <c r="D2">
        <v>145631.72477001889</v>
      </c>
      <c r="E2">
        <v>95409.705565689132</v>
      </c>
      <c r="F2">
        <v>164778.1398759782</v>
      </c>
      <c r="G2">
        <v>19566.180000000011</v>
      </c>
      <c r="H2">
        <f>D2/$G$2</f>
        <v>7.4430330687961987</v>
      </c>
      <c r="I2">
        <f>E2/$G$2</f>
        <v>4.8762561504437292</v>
      </c>
      <c r="J2">
        <f>F2/$G$2</f>
        <v>8.4215794741731962</v>
      </c>
    </row>
    <row r="3" spans="1:10" x14ac:dyDescent="0.45">
      <c r="A3" s="3"/>
      <c r="B3" s="3"/>
      <c r="C3">
        <v>2</v>
      </c>
      <c r="D3">
        <v>131538.33205033469</v>
      </c>
      <c r="E3">
        <v>86176.508252882617</v>
      </c>
      <c r="F3">
        <v>155821.95712313501</v>
      </c>
      <c r="H3">
        <f t="shared" ref="H3:H13" si="0">D3/$G$2</f>
        <v>6.7227395460092163</v>
      </c>
      <c r="I3">
        <f t="shared" ref="I3:I13" si="1">E3/$G$2</f>
        <v>4.4043603939492826</v>
      </c>
      <c r="J3">
        <f t="shared" ref="J3:J13" si="2">F3/$G$2</f>
        <v>7.9638415430674216</v>
      </c>
    </row>
    <row r="4" spans="1:10" x14ac:dyDescent="0.45">
      <c r="A4" s="3"/>
      <c r="B4" s="3"/>
      <c r="C4">
        <v>3</v>
      </c>
      <c r="D4">
        <v>145631.72477001901</v>
      </c>
      <c r="E4">
        <v>95409.70556568919</v>
      </c>
      <c r="F4">
        <v>195472.76823590329</v>
      </c>
      <c r="H4">
        <f t="shared" si="0"/>
        <v>7.443033068796205</v>
      </c>
      <c r="I4">
        <f t="shared" si="1"/>
        <v>4.8762561504437318</v>
      </c>
      <c r="J4">
        <f t="shared" si="2"/>
        <v>9.9903388518302076</v>
      </c>
    </row>
    <row r="5" spans="1:10" x14ac:dyDescent="0.45">
      <c r="A5" s="3"/>
      <c r="B5" s="3"/>
      <c r="C5">
        <v>4</v>
      </c>
      <c r="D5">
        <v>140933.92719679099</v>
      </c>
      <c r="E5">
        <v>92331.973128087004</v>
      </c>
      <c r="F5">
        <v>199037.1923944763</v>
      </c>
      <c r="H5">
        <f t="shared" si="0"/>
        <v>7.2029352278672132</v>
      </c>
      <c r="I5">
        <f t="shared" si="1"/>
        <v>4.7189575649455824</v>
      </c>
      <c r="J5">
        <f t="shared" si="2"/>
        <v>10.172511568148519</v>
      </c>
    </row>
    <row r="6" spans="1:10" x14ac:dyDescent="0.45">
      <c r="A6" s="3"/>
      <c r="B6" s="3"/>
      <c r="C6">
        <v>5</v>
      </c>
      <c r="D6">
        <v>145631.72477001909</v>
      </c>
      <c r="E6">
        <v>95409.705565689175</v>
      </c>
      <c r="F6">
        <v>235977.91072983289</v>
      </c>
      <c r="H6">
        <f t="shared" si="0"/>
        <v>7.4430330687962094</v>
      </c>
      <c r="I6">
        <f t="shared" si="1"/>
        <v>4.876256150443731</v>
      </c>
      <c r="J6">
        <f t="shared" si="2"/>
        <v>12.060499838488287</v>
      </c>
    </row>
    <row r="7" spans="1:10" x14ac:dyDescent="0.45">
      <c r="A7" s="3"/>
      <c r="B7" s="3"/>
      <c r="C7">
        <v>6</v>
      </c>
      <c r="D7">
        <v>140933.92719679099</v>
      </c>
      <c r="E7">
        <v>92331.973128087004</v>
      </c>
      <c r="F7">
        <v>226443.45709020339</v>
      </c>
      <c r="H7">
        <f t="shared" si="0"/>
        <v>7.2029352278672132</v>
      </c>
      <c r="I7">
        <f t="shared" si="1"/>
        <v>4.7189575649455824</v>
      </c>
      <c r="J7">
        <f t="shared" si="2"/>
        <v>11.573207293922639</v>
      </c>
    </row>
    <row r="8" spans="1:10" x14ac:dyDescent="0.45">
      <c r="A8" s="3"/>
      <c r="B8" s="3"/>
      <c r="C8">
        <v>7</v>
      </c>
      <c r="D8">
        <v>145631.72477001909</v>
      </c>
      <c r="E8">
        <v>95409.705565689175</v>
      </c>
      <c r="F8">
        <v>227133.87610602481</v>
      </c>
      <c r="H8">
        <f t="shared" si="0"/>
        <v>7.4430330687962094</v>
      </c>
      <c r="I8">
        <f t="shared" si="1"/>
        <v>4.876256150443731</v>
      </c>
      <c r="J8">
        <f t="shared" si="2"/>
        <v>11.608493640865241</v>
      </c>
    </row>
    <row r="9" spans="1:10" x14ac:dyDescent="0.45">
      <c r="A9" s="3"/>
      <c r="B9" s="3"/>
      <c r="C9">
        <v>8</v>
      </c>
      <c r="D9">
        <v>145631.72477001909</v>
      </c>
      <c r="E9">
        <v>95409.705565689175</v>
      </c>
      <c r="F9">
        <v>210068.7148240142</v>
      </c>
      <c r="H9">
        <f t="shared" si="0"/>
        <v>7.4430330687962094</v>
      </c>
      <c r="I9">
        <f t="shared" si="1"/>
        <v>4.876256150443731</v>
      </c>
      <c r="J9">
        <f t="shared" si="2"/>
        <v>10.736317197532379</v>
      </c>
    </row>
    <row r="10" spans="1:10" x14ac:dyDescent="0.45">
      <c r="A10" s="3"/>
      <c r="B10" s="3"/>
      <c r="C10">
        <v>9</v>
      </c>
      <c r="D10">
        <v>140933.92719679099</v>
      </c>
      <c r="E10">
        <v>92331.973128087004</v>
      </c>
      <c r="F10">
        <v>188132.96672853749</v>
      </c>
      <c r="H10">
        <f t="shared" si="0"/>
        <v>7.2029352278672132</v>
      </c>
      <c r="I10">
        <f t="shared" si="1"/>
        <v>4.7189575649455824</v>
      </c>
      <c r="J10">
        <f t="shared" si="2"/>
        <v>9.6152118976998775</v>
      </c>
    </row>
    <row r="11" spans="1:10" x14ac:dyDescent="0.45">
      <c r="A11" s="3"/>
      <c r="B11" s="3"/>
      <c r="C11">
        <v>10</v>
      </c>
      <c r="D11">
        <v>145631.72477001909</v>
      </c>
      <c r="E11">
        <v>95409.705565689175</v>
      </c>
      <c r="F11">
        <v>211607.38436097949</v>
      </c>
      <c r="H11">
        <f t="shared" si="0"/>
        <v>7.4430330687962094</v>
      </c>
      <c r="I11">
        <f t="shared" si="1"/>
        <v>4.876256150443731</v>
      </c>
      <c r="J11">
        <f t="shared" si="2"/>
        <v>10.814956438148855</v>
      </c>
    </row>
    <row r="12" spans="1:10" x14ac:dyDescent="0.45">
      <c r="A12" s="3"/>
      <c r="B12" s="3"/>
      <c r="C12">
        <v>11</v>
      </c>
      <c r="D12">
        <v>140933.92719679081</v>
      </c>
      <c r="E12">
        <v>92331.97312808696</v>
      </c>
      <c r="F12">
        <v>196233.52928806801</v>
      </c>
      <c r="H12">
        <f t="shared" si="0"/>
        <v>7.2029352278672043</v>
      </c>
      <c r="I12">
        <f t="shared" si="1"/>
        <v>4.7189575649455797</v>
      </c>
      <c r="J12">
        <f t="shared" si="2"/>
        <v>10.029220281530064</v>
      </c>
    </row>
    <row r="13" spans="1:10" x14ac:dyDescent="0.45">
      <c r="A13" s="3"/>
      <c r="B13" s="3"/>
      <c r="C13">
        <v>12</v>
      </c>
      <c r="D13">
        <v>145631.72477001889</v>
      </c>
      <c r="E13">
        <v>95409.705565689132</v>
      </c>
      <c r="F13">
        <v>174490.47278116859</v>
      </c>
      <c r="H13">
        <f t="shared" si="0"/>
        <v>7.4430330687961987</v>
      </c>
      <c r="I13">
        <f t="shared" si="1"/>
        <v>4.8762561504437292</v>
      </c>
      <c r="J13">
        <f t="shared" si="2"/>
        <v>8.9179631783602371</v>
      </c>
    </row>
    <row r="14" spans="1:10" s="1" customFormat="1" x14ac:dyDescent="0.45">
      <c r="A14" s="1" t="s">
        <v>3</v>
      </c>
      <c r="D14" s="1">
        <f t="shared" ref="D14:F14" si="3">SUM(D2:D13)</f>
        <v>1714696.1142276316</v>
      </c>
      <c r="E14" s="1">
        <f t="shared" si="3"/>
        <v>1123372.3397250548</v>
      </c>
      <c r="F14" s="1">
        <f t="shared" si="3"/>
        <v>2385198.3695383221</v>
      </c>
    </row>
    <row r="15" spans="1:10" x14ac:dyDescent="0.45">
      <c r="A15" s="3" t="s">
        <v>37</v>
      </c>
      <c r="B15" s="3" t="s">
        <v>38</v>
      </c>
      <c r="C15">
        <v>1</v>
      </c>
      <c r="D15">
        <v>121976.51425685119</v>
      </c>
      <c r="E15">
        <v>79912.143659328067</v>
      </c>
      <c r="F15">
        <v>128091.2972430299</v>
      </c>
      <c r="G15">
        <v>16387.84</v>
      </c>
      <c r="H15">
        <f>D15/$G$2</f>
        <v>6.2340484579438158</v>
      </c>
      <c r="I15">
        <f>E15/$G$2</f>
        <v>4.0841975111814373</v>
      </c>
      <c r="J15">
        <f>F15/$G$2</f>
        <v>6.5465664346862713</v>
      </c>
    </row>
    <row r="16" spans="1:10" x14ac:dyDescent="0.45">
      <c r="A16" s="3"/>
      <c r="B16" s="3"/>
      <c r="C16">
        <v>2</v>
      </c>
      <c r="D16">
        <v>110172.3354578023</v>
      </c>
      <c r="E16">
        <v>72178.710401974779</v>
      </c>
      <c r="F16">
        <v>121071.56797557369</v>
      </c>
      <c r="H16">
        <f t="shared" ref="H16:H26" si="4">D16/$G$2</f>
        <v>5.6307534458847988</v>
      </c>
      <c r="I16">
        <f t="shared" ref="I16:I26" si="5">E16/$G$2</f>
        <v>3.6889525907445777</v>
      </c>
      <c r="J16">
        <f t="shared" ref="J16:J26" si="6">F16/$G$2</f>
        <v>6.1877979235381471</v>
      </c>
    </row>
    <row r="17" spans="1:10" x14ac:dyDescent="0.45">
      <c r="A17" s="3"/>
      <c r="B17" s="3"/>
      <c r="C17">
        <v>3</v>
      </c>
      <c r="D17">
        <v>121976.5142568514</v>
      </c>
      <c r="E17">
        <v>79912.143659328023</v>
      </c>
      <c r="F17">
        <v>149773.89871571769</v>
      </c>
      <c r="H17">
        <f t="shared" si="4"/>
        <v>6.2340484579438256</v>
      </c>
      <c r="I17">
        <f t="shared" si="5"/>
        <v>4.0841975111814355</v>
      </c>
      <c r="J17">
        <f t="shared" si="6"/>
        <v>7.654733765902062</v>
      </c>
    </row>
    <row r="18" spans="1:10" x14ac:dyDescent="0.45">
      <c r="A18" s="3"/>
      <c r="B18" s="3"/>
      <c r="C18">
        <v>4</v>
      </c>
      <c r="D18">
        <v>118041.7879905017</v>
      </c>
      <c r="E18">
        <v>77334.332573543579</v>
      </c>
      <c r="F18">
        <v>153060.65189016901</v>
      </c>
      <c r="H18">
        <f t="shared" si="4"/>
        <v>6.0329501205908169</v>
      </c>
      <c r="I18">
        <f t="shared" si="5"/>
        <v>3.9524492043691479</v>
      </c>
      <c r="J18">
        <f t="shared" si="6"/>
        <v>7.8227151079142132</v>
      </c>
    </row>
    <row r="19" spans="1:10" x14ac:dyDescent="0.45">
      <c r="A19" s="3"/>
      <c r="B19" s="3"/>
      <c r="C19">
        <v>5</v>
      </c>
      <c r="D19">
        <v>121976.5142568513</v>
      </c>
      <c r="E19">
        <v>79912.143659328009</v>
      </c>
      <c r="F19">
        <v>181642.90655504269</v>
      </c>
      <c r="H19">
        <f t="shared" si="4"/>
        <v>6.2340484579438211</v>
      </c>
      <c r="I19">
        <f t="shared" si="5"/>
        <v>4.0841975111814346</v>
      </c>
      <c r="J19">
        <f t="shared" si="6"/>
        <v>9.2835140305896502</v>
      </c>
    </row>
    <row r="20" spans="1:10" x14ac:dyDescent="0.45">
      <c r="A20" s="3"/>
      <c r="B20" s="3"/>
      <c r="C20">
        <v>6</v>
      </c>
      <c r="D20">
        <v>118041.7879905017</v>
      </c>
      <c r="E20">
        <v>77334.332573543579</v>
      </c>
      <c r="F20">
        <v>174862.63969543381</v>
      </c>
      <c r="H20">
        <f t="shared" si="4"/>
        <v>6.0329501205908169</v>
      </c>
      <c r="I20">
        <f t="shared" si="5"/>
        <v>3.9524492043691479</v>
      </c>
      <c r="J20">
        <f t="shared" si="6"/>
        <v>8.9369841070374338</v>
      </c>
    </row>
    <row r="21" spans="1:10" x14ac:dyDescent="0.45">
      <c r="A21" s="3"/>
      <c r="B21" s="3"/>
      <c r="C21">
        <v>7</v>
      </c>
      <c r="D21">
        <v>121976.5142568513</v>
      </c>
      <c r="E21">
        <v>79912.143659328009</v>
      </c>
      <c r="F21">
        <v>175052.8111565896</v>
      </c>
      <c r="H21">
        <f t="shared" si="4"/>
        <v>6.2340484579438211</v>
      </c>
      <c r="I21">
        <f t="shared" si="5"/>
        <v>4.0841975111814346</v>
      </c>
      <c r="J21">
        <f t="shared" si="6"/>
        <v>8.9467035035244233</v>
      </c>
    </row>
    <row r="22" spans="1:10" x14ac:dyDescent="0.45">
      <c r="A22" s="3"/>
      <c r="B22" s="3"/>
      <c r="C22">
        <v>8</v>
      </c>
      <c r="D22">
        <v>121976.5142568513</v>
      </c>
      <c r="E22">
        <v>79912.143659328009</v>
      </c>
      <c r="F22">
        <v>161577.08165733071</v>
      </c>
      <c r="H22">
        <f t="shared" si="4"/>
        <v>6.2340484579438211</v>
      </c>
      <c r="I22">
        <f t="shared" si="5"/>
        <v>4.0841975111814346</v>
      </c>
      <c r="J22">
        <f t="shared" si="6"/>
        <v>8.2579778810851483</v>
      </c>
    </row>
    <row r="23" spans="1:10" x14ac:dyDescent="0.45">
      <c r="A23" s="3"/>
      <c r="B23" s="3"/>
      <c r="C23">
        <v>9</v>
      </c>
      <c r="D23">
        <v>118041.7879905017</v>
      </c>
      <c r="E23">
        <v>77334.332573543579</v>
      </c>
      <c r="F23">
        <v>143859.17530028091</v>
      </c>
      <c r="H23">
        <f t="shared" si="4"/>
        <v>6.0329501205908169</v>
      </c>
      <c r="I23">
        <f t="shared" si="5"/>
        <v>3.9524492043691479</v>
      </c>
      <c r="J23">
        <f t="shared" si="6"/>
        <v>7.352440553050255</v>
      </c>
    </row>
    <row r="24" spans="1:10" x14ac:dyDescent="0.45">
      <c r="A24" s="3"/>
      <c r="B24" s="3"/>
      <c r="C24">
        <v>10</v>
      </c>
      <c r="D24">
        <v>121976.5142568513</v>
      </c>
      <c r="E24">
        <v>79912.143659328009</v>
      </c>
      <c r="F24">
        <v>162154.39692391621</v>
      </c>
      <c r="H24">
        <f t="shared" si="4"/>
        <v>6.2340484579438211</v>
      </c>
      <c r="I24">
        <f t="shared" si="5"/>
        <v>4.0841975111814346</v>
      </c>
      <c r="J24">
        <f t="shared" si="6"/>
        <v>8.2874836541377075</v>
      </c>
    </row>
    <row r="25" spans="1:10" x14ac:dyDescent="0.45">
      <c r="A25" s="3"/>
      <c r="B25" s="3"/>
      <c r="C25">
        <v>11</v>
      </c>
      <c r="D25">
        <v>118041.7879905016</v>
      </c>
      <c r="E25">
        <v>77334.332573543623</v>
      </c>
      <c r="F25">
        <v>151202.1310741941</v>
      </c>
      <c r="H25">
        <f t="shared" si="4"/>
        <v>6.0329501205908116</v>
      </c>
      <c r="I25">
        <f t="shared" si="5"/>
        <v>3.9524492043691501</v>
      </c>
      <c r="J25">
        <f t="shared" si="6"/>
        <v>7.7277287173170244</v>
      </c>
    </row>
    <row r="26" spans="1:10" x14ac:dyDescent="0.45">
      <c r="A26" s="3"/>
      <c r="B26" s="3"/>
      <c r="C26">
        <v>12</v>
      </c>
      <c r="D26">
        <v>121976.51425685119</v>
      </c>
      <c r="E26">
        <v>79912.143659328067</v>
      </c>
      <c r="F26">
        <v>135131.80852022051</v>
      </c>
      <c r="H26">
        <f t="shared" si="4"/>
        <v>6.2340484579438158</v>
      </c>
      <c r="I26">
        <f t="shared" si="5"/>
        <v>4.0841975111814373</v>
      </c>
      <c r="J26">
        <f t="shared" si="6"/>
        <v>6.9063970851857865</v>
      </c>
    </row>
    <row r="27" spans="1:10" s="1" customFormat="1" x14ac:dyDescent="0.45">
      <c r="A27" s="1" t="s">
        <v>3</v>
      </c>
      <c r="D27" s="1">
        <f t="shared" ref="D27" si="7">SUM(D15:D26)</f>
        <v>1436175.087217768</v>
      </c>
      <c r="E27" s="1">
        <f t="shared" ref="E27" si="8">SUM(E15:E26)</f>
        <v>940901.0463114453</v>
      </c>
      <c r="F27" s="1">
        <f t="shared" ref="F27" si="9">SUM(F15:F26)</f>
        <v>1837480.3667074989</v>
      </c>
    </row>
    <row r="28" spans="1:10" x14ac:dyDescent="0.45">
      <c r="A28" s="3" t="s">
        <v>39</v>
      </c>
      <c r="B28" s="3" t="s">
        <v>40</v>
      </c>
      <c r="C28">
        <v>1</v>
      </c>
      <c r="D28">
        <v>66024.199880584303</v>
      </c>
      <c r="E28">
        <v>43255.33794759275</v>
      </c>
      <c r="F28">
        <v>101992.5651813135</v>
      </c>
      <c r="G28">
        <v>8870.52</v>
      </c>
      <c r="H28">
        <f>D28/$G$2</f>
        <v>3.3744041954323363</v>
      </c>
      <c r="I28">
        <f>E28/$G$2</f>
        <v>2.2107196165829368</v>
      </c>
      <c r="J28">
        <f>F28/$G$2</f>
        <v>5.2126968668035074</v>
      </c>
    </row>
    <row r="29" spans="1:10" x14ac:dyDescent="0.45">
      <c r="A29" s="3"/>
      <c r="B29" s="3"/>
      <c r="C29">
        <v>2</v>
      </c>
      <c r="D29">
        <v>59634.761182462491</v>
      </c>
      <c r="E29">
        <v>39069.337501051457</v>
      </c>
      <c r="F29">
        <v>97955.832091675955</v>
      </c>
      <c r="H29">
        <f t="shared" ref="H29:H39" si="10">D29/$G$2</f>
        <v>3.0478489507130395</v>
      </c>
      <c r="I29">
        <f t="shared" ref="I29:I39" si="11">E29/$G$2</f>
        <v>1.9967790085265205</v>
      </c>
      <c r="J29">
        <f t="shared" ref="J29:J39" si="12">F29/$G$2</f>
        <v>5.0063851038718798</v>
      </c>
    </row>
    <row r="30" spans="1:10" x14ac:dyDescent="0.45">
      <c r="A30" s="3"/>
      <c r="B30" s="3"/>
      <c r="C30">
        <v>3</v>
      </c>
      <c r="D30">
        <v>66024.19988058442</v>
      </c>
      <c r="E30">
        <v>43255.337947592663</v>
      </c>
      <c r="F30">
        <v>124196.81263337869</v>
      </c>
      <c r="H30">
        <f t="shared" si="10"/>
        <v>3.374404195432342</v>
      </c>
      <c r="I30">
        <f t="shared" si="11"/>
        <v>2.2107196165829324</v>
      </c>
      <c r="J30">
        <f t="shared" si="12"/>
        <v>6.3475247919306996</v>
      </c>
    </row>
    <row r="31" spans="1:10" x14ac:dyDescent="0.45">
      <c r="A31" s="3"/>
      <c r="B31" s="3"/>
      <c r="C31">
        <v>4</v>
      </c>
      <c r="D31">
        <v>63894.386981210133</v>
      </c>
      <c r="E31">
        <v>41860.004465412232</v>
      </c>
      <c r="F31">
        <v>128614.98718922951</v>
      </c>
      <c r="H31">
        <f t="shared" si="10"/>
        <v>3.2655524471925585</v>
      </c>
      <c r="I31">
        <f t="shared" si="11"/>
        <v>2.1394060805641271</v>
      </c>
      <c r="J31">
        <f t="shared" si="12"/>
        <v>6.5733314928733879</v>
      </c>
    </row>
    <row r="32" spans="1:10" x14ac:dyDescent="0.45">
      <c r="A32" s="3"/>
      <c r="B32" s="3"/>
      <c r="C32">
        <v>5</v>
      </c>
      <c r="D32">
        <v>66024.19988058442</v>
      </c>
      <c r="E32">
        <v>43255.337947592663</v>
      </c>
      <c r="F32">
        <v>153201.3905823942</v>
      </c>
      <c r="H32">
        <f t="shared" si="10"/>
        <v>3.374404195432342</v>
      </c>
      <c r="I32">
        <f t="shared" si="11"/>
        <v>2.2107196165829324</v>
      </c>
      <c r="J32">
        <f t="shared" si="12"/>
        <v>7.8299080649566815</v>
      </c>
    </row>
    <row r="33" spans="1:10" x14ac:dyDescent="0.45">
      <c r="A33" s="3"/>
      <c r="B33" s="3"/>
      <c r="C33">
        <v>6</v>
      </c>
      <c r="D33">
        <v>63894.386981210133</v>
      </c>
      <c r="E33">
        <v>41860.004465412232</v>
      </c>
      <c r="F33">
        <v>147465.23901291579</v>
      </c>
      <c r="H33">
        <f t="shared" si="10"/>
        <v>3.2655524471925585</v>
      </c>
      <c r="I33">
        <f t="shared" si="11"/>
        <v>2.1394060805641271</v>
      </c>
      <c r="J33">
        <f t="shared" si="12"/>
        <v>7.5367414085383917</v>
      </c>
    </row>
    <row r="34" spans="1:10" x14ac:dyDescent="0.45">
      <c r="A34" s="3"/>
      <c r="B34" s="3"/>
      <c r="C34">
        <v>7</v>
      </c>
      <c r="D34">
        <v>66024.19988058442</v>
      </c>
      <c r="E34">
        <v>43255.337947592663</v>
      </c>
      <c r="F34">
        <v>147768.81493601899</v>
      </c>
      <c r="H34">
        <f t="shared" si="10"/>
        <v>3.374404195432342</v>
      </c>
      <c r="I34">
        <f t="shared" si="11"/>
        <v>2.2107196165829324</v>
      </c>
      <c r="J34">
        <f t="shared" si="12"/>
        <v>7.5522567479200795</v>
      </c>
    </row>
    <row r="35" spans="1:10" x14ac:dyDescent="0.45">
      <c r="A35" s="3"/>
      <c r="B35" s="3"/>
      <c r="C35">
        <v>8</v>
      </c>
      <c r="D35">
        <v>66024.19988058442</v>
      </c>
      <c r="E35">
        <v>43255.337947592663</v>
      </c>
      <c r="F35">
        <v>134750.4771647614</v>
      </c>
      <c r="H35">
        <f t="shared" si="10"/>
        <v>3.374404195432342</v>
      </c>
      <c r="I35">
        <f t="shared" si="11"/>
        <v>2.2107196165829324</v>
      </c>
      <c r="J35">
        <f t="shared" si="12"/>
        <v>6.8869077747808367</v>
      </c>
    </row>
    <row r="36" spans="1:10" x14ac:dyDescent="0.45">
      <c r="A36" s="3"/>
      <c r="B36" s="3"/>
      <c r="C36">
        <v>9</v>
      </c>
      <c r="D36">
        <v>63894.386981210133</v>
      </c>
      <c r="E36">
        <v>41860.004465412232</v>
      </c>
      <c r="F36">
        <v>120116.5283492305</v>
      </c>
      <c r="H36">
        <f t="shared" si="10"/>
        <v>3.2655524471925585</v>
      </c>
      <c r="I36">
        <f t="shared" si="11"/>
        <v>2.1394060805641271</v>
      </c>
      <c r="J36">
        <f t="shared" si="12"/>
        <v>6.138987188568767</v>
      </c>
    </row>
    <row r="37" spans="1:10" x14ac:dyDescent="0.45">
      <c r="A37" s="3"/>
      <c r="B37" s="3"/>
      <c r="C37">
        <v>10</v>
      </c>
      <c r="D37">
        <v>66024.19988058442</v>
      </c>
      <c r="E37">
        <v>43255.337947592663</v>
      </c>
      <c r="F37">
        <v>134008.50750395359</v>
      </c>
      <c r="H37">
        <f t="shared" si="10"/>
        <v>3.374404195432342</v>
      </c>
      <c r="I37">
        <f t="shared" si="11"/>
        <v>2.2107196165829324</v>
      </c>
      <c r="J37">
        <f t="shared" si="12"/>
        <v>6.8489867467207963</v>
      </c>
    </row>
    <row r="38" spans="1:10" x14ac:dyDescent="0.45">
      <c r="A38" s="3"/>
      <c r="B38" s="3"/>
      <c r="C38">
        <v>11</v>
      </c>
      <c r="D38">
        <v>63894.386981210097</v>
      </c>
      <c r="E38">
        <v>41860.004465412312</v>
      </c>
      <c r="F38">
        <v>123503.59539137479</v>
      </c>
      <c r="H38">
        <f t="shared" si="10"/>
        <v>3.2655524471925568</v>
      </c>
      <c r="I38">
        <f t="shared" si="11"/>
        <v>2.1394060805641311</v>
      </c>
      <c r="J38">
        <f t="shared" si="12"/>
        <v>6.3120954315750302</v>
      </c>
    </row>
    <row r="39" spans="1:10" x14ac:dyDescent="0.45">
      <c r="A39" s="3"/>
      <c r="B39" s="3"/>
      <c r="C39">
        <v>12</v>
      </c>
      <c r="D39">
        <v>66024.199880584303</v>
      </c>
      <c r="E39">
        <v>43255.33794759275</v>
      </c>
      <c r="F39">
        <v>109009.3315433172</v>
      </c>
      <c r="H39">
        <f t="shared" si="10"/>
        <v>3.3744041954323363</v>
      </c>
      <c r="I39">
        <f t="shared" si="11"/>
        <v>2.2107196165829368</v>
      </c>
      <c r="J39">
        <f t="shared" si="12"/>
        <v>5.5713139480121887</v>
      </c>
    </row>
    <row r="40" spans="1:10" s="1" customFormat="1" x14ac:dyDescent="0.45">
      <c r="A40" s="1" t="s">
        <v>3</v>
      </c>
      <c r="D40" s="1">
        <f t="shared" ref="D40" si="13">SUM(D28:D39)</f>
        <v>777381.70827139367</v>
      </c>
      <c r="E40" s="1">
        <f t="shared" ref="E40" si="14">SUM(E28:E39)</f>
        <v>509296.72099584923</v>
      </c>
      <c r="F40" s="1">
        <f t="shared" ref="F40" si="15">SUM(F28:F39)</f>
        <v>1522584.0815795641</v>
      </c>
    </row>
    <row r="41" spans="1:10" x14ac:dyDescent="0.45">
      <c r="A41" s="3" t="s">
        <v>41</v>
      </c>
      <c r="B41" s="3" t="s">
        <v>42</v>
      </c>
      <c r="C41">
        <v>1</v>
      </c>
      <c r="D41">
        <v>95347.29221126507</v>
      </c>
      <c r="E41">
        <v>62466.176863090906</v>
      </c>
      <c r="F41">
        <v>106465.9665034616</v>
      </c>
      <c r="G41">
        <v>12810.12</v>
      </c>
      <c r="H41">
        <f>D41/$G$2</f>
        <v>4.8730662914920035</v>
      </c>
      <c r="I41">
        <f>E41/$G$2</f>
        <v>3.1925586324510391</v>
      </c>
      <c r="J41">
        <f>F41/$G$2</f>
        <v>5.4413261302646481</v>
      </c>
    </row>
    <row r="42" spans="1:10" x14ac:dyDescent="0.45">
      <c r="A42" s="3"/>
      <c r="B42" s="3"/>
      <c r="C42">
        <v>2</v>
      </c>
      <c r="D42">
        <v>86120.134900495061</v>
      </c>
      <c r="E42">
        <v>56421.062973115302</v>
      </c>
      <c r="F42">
        <v>101392.80682888439</v>
      </c>
      <c r="H42">
        <f t="shared" ref="H42:H52" si="16">D42/$G$2</f>
        <v>4.4014792310249122</v>
      </c>
      <c r="I42">
        <f t="shared" ref="I42:I52" si="17">E42/$G$2</f>
        <v>2.883601345439696</v>
      </c>
      <c r="J42">
        <f t="shared" ref="J42:J52" si="18">F42/$G$2</f>
        <v>5.1820440591308232</v>
      </c>
    </row>
    <row r="43" spans="1:10" x14ac:dyDescent="0.45">
      <c r="A43" s="3"/>
      <c r="B43" s="3"/>
      <c r="C43">
        <v>3</v>
      </c>
      <c r="D43">
        <v>95347.292211265085</v>
      </c>
      <c r="E43">
        <v>62466.176863090819</v>
      </c>
      <c r="F43">
        <v>126358.5275471848</v>
      </c>
      <c r="H43">
        <f t="shared" si="16"/>
        <v>4.8730662914920044</v>
      </c>
      <c r="I43">
        <f t="shared" si="17"/>
        <v>3.1925586324510347</v>
      </c>
      <c r="J43">
        <f t="shared" si="18"/>
        <v>6.4580070073557909</v>
      </c>
    </row>
    <row r="44" spans="1:10" x14ac:dyDescent="0.45">
      <c r="A44" s="3"/>
      <c r="B44" s="3"/>
      <c r="C44">
        <v>4</v>
      </c>
      <c r="D44">
        <v>92271.573107675009</v>
      </c>
      <c r="E44">
        <v>60451.138899765567</v>
      </c>
      <c r="F44">
        <v>128591.1836928518</v>
      </c>
      <c r="H44">
        <f t="shared" si="16"/>
        <v>4.7158706046696368</v>
      </c>
      <c r="I44">
        <f t="shared" si="17"/>
        <v>3.0895728701139178</v>
      </c>
      <c r="J44">
        <f t="shared" si="18"/>
        <v>6.5721149295801089</v>
      </c>
    </row>
    <row r="45" spans="1:10" x14ac:dyDescent="0.45">
      <c r="A45" s="3"/>
      <c r="B45" s="3"/>
      <c r="C45">
        <v>5</v>
      </c>
      <c r="D45">
        <v>95347.292211265012</v>
      </c>
      <c r="E45">
        <v>62466.176863090783</v>
      </c>
      <c r="F45">
        <v>152575.52924148299</v>
      </c>
      <c r="H45">
        <f t="shared" si="16"/>
        <v>4.8730662914920009</v>
      </c>
      <c r="I45">
        <f t="shared" si="17"/>
        <v>3.1925586324510329</v>
      </c>
      <c r="J45">
        <f t="shared" si="18"/>
        <v>7.7979211701764424</v>
      </c>
    </row>
    <row r="46" spans="1:10" x14ac:dyDescent="0.45">
      <c r="A46" s="3"/>
      <c r="B46" s="3"/>
      <c r="C46">
        <v>6</v>
      </c>
      <c r="D46">
        <v>92271.573107675009</v>
      </c>
      <c r="E46">
        <v>60451.138899765567</v>
      </c>
      <c r="F46">
        <v>146717.885245607</v>
      </c>
      <c r="H46">
        <f t="shared" si="16"/>
        <v>4.7158706046696368</v>
      </c>
      <c r="I46">
        <f t="shared" si="17"/>
        <v>3.0895728701139178</v>
      </c>
      <c r="J46">
        <f t="shared" si="18"/>
        <v>7.4985452063513121</v>
      </c>
    </row>
    <row r="47" spans="1:10" x14ac:dyDescent="0.45">
      <c r="A47" s="3"/>
      <c r="B47" s="3"/>
      <c r="C47">
        <v>7</v>
      </c>
      <c r="D47">
        <v>95347.292211265012</v>
      </c>
      <c r="E47">
        <v>62466.176863090783</v>
      </c>
      <c r="F47">
        <v>147342.95336552151</v>
      </c>
      <c r="H47">
        <f t="shared" si="16"/>
        <v>4.8730662914920009</v>
      </c>
      <c r="I47">
        <f t="shared" si="17"/>
        <v>3.1925586324510329</v>
      </c>
      <c r="J47">
        <f t="shared" si="18"/>
        <v>7.530491560719641</v>
      </c>
    </row>
    <row r="48" spans="1:10" x14ac:dyDescent="0.45">
      <c r="A48" s="3"/>
      <c r="B48" s="3"/>
      <c r="C48">
        <v>8</v>
      </c>
      <c r="D48">
        <v>95347.292211265012</v>
      </c>
      <c r="E48">
        <v>62466.176863090783</v>
      </c>
      <c r="F48">
        <v>135803.164386316</v>
      </c>
      <c r="H48">
        <f t="shared" si="16"/>
        <v>4.8730662914920009</v>
      </c>
      <c r="I48">
        <f t="shared" si="17"/>
        <v>3.1925586324510329</v>
      </c>
      <c r="J48">
        <f t="shared" si="18"/>
        <v>6.9407091412997284</v>
      </c>
    </row>
    <row r="49" spans="1:10" x14ac:dyDescent="0.45">
      <c r="A49" s="3"/>
      <c r="B49" s="3"/>
      <c r="C49">
        <v>9</v>
      </c>
      <c r="D49">
        <v>92271.573107675009</v>
      </c>
      <c r="E49">
        <v>60451.138899765567</v>
      </c>
      <c r="F49">
        <v>121568.25877246269</v>
      </c>
      <c r="H49">
        <f t="shared" si="16"/>
        <v>4.7158706046696368</v>
      </c>
      <c r="I49">
        <f t="shared" si="17"/>
        <v>3.0895728701139178</v>
      </c>
      <c r="J49">
        <f t="shared" si="18"/>
        <v>6.2131830930954646</v>
      </c>
    </row>
    <row r="50" spans="1:10" x14ac:dyDescent="0.45">
      <c r="A50" s="3"/>
      <c r="B50" s="3"/>
      <c r="C50">
        <v>10</v>
      </c>
      <c r="D50">
        <v>95347.292211265012</v>
      </c>
      <c r="E50">
        <v>62466.176863090783</v>
      </c>
      <c r="F50">
        <v>136805.93421373781</v>
      </c>
      <c r="H50">
        <f t="shared" si="16"/>
        <v>4.8730662914920009</v>
      </c>
      <c r="I50">
        <f t="shared" si="17"/>
        <v>3.1925586324510329</v>
      </c>
      <c r="J50">
        <f t="shared" si="18"/>
        <v>6.9919592998601532</v>
      </c>
    </row>
    <row r="51" spans="1:10" x14ac:dyDescent="0.45">
      <c r="A51" s="3"/>
      <c r="B51" s="3"/>
      <c r="C51">
        <v>11</v>
      </c>
      <c r="D51">
        <v>92271.573107675067</v>
      </c>
      <c r="E51">
        <v>60451.138899765698</v>
      </c>
      <c r="F51">
        <v>126777.15367000821</v>
      </c>
      <c r="H51">
        <f t="shared" si="16"/>
        <v>4.7158706046696395</v>
      </c>
      <c r="I51">
        <f t="shared" si="17"/>
        <v>3.0895728701139245</v>
      </c>
      <c r="J51">
        <f t="shared" si="18"/>
        <v>6.4794024009800655</v>
      </c>
    </row>
    <row r="52" spans="1:10" x14ac:dyDescent="0.45">
      <c r="A52" s="3"/>
      <c r="B52" s="3"/>
      <c r="C52">
        <v>12</v>
      </c>
      <c r="D52">
        <v>95347.29221126507</v>
      </c>
      <c r="E52">
        <v>62466.176863090906</v>
      </c>
      <c r="F52">
        <v>112491.0914432414</v>
      </c>
      <c r="H52">
        <f t="shared" si="16"/>
        <v>4.8730662914920035</v>
      </c>
      <c r="I52">
        <f t="shared" si="17"/>
        <v>3.1925586324510391</v>
      </c>
      <c r="J52">
        <f t="shared" si="18"/>
        <v>5.7492618100846125</v>
      </c>
    </row>
    <row r="53" spans="1:10" s="1" customFormat="1" x14ac:dyDescent="0.45">
      <c r="A53" s="1" t="s">
        <v>3</v>
      </c>
      <c r="D53" s="1">
        <f t="shared" ref="D53" si="19">SUM(D41:D52)</f>
        <v>1122637.4728100505</v>
      </c>
      <c r="E53" s="1">
        <f t="shared" ref="E53" si="20">SUM(E41:E52)</f>
        <v>735488.85661381355</v>
      </c>
      <c r="F53" s="1">
        <f t="shared" ref="F53" si="21">SUM(F41:F52)</f>
        <v>1542890.45491076</v>
      </c>
    </row>
  </sheetData>
  <mergeCells count="8">
    <mergeCell ref="A41:A52"/>
    <mergeCell ref="B41:B52"/>
    <mergeCell ref="A2:A13"/>
    <mergeCell ref="B2:B13"/>
    <mergeCell ref="A15:A26"/>
    <mergeCell ref="B15:B26"/>
    <mergeCell ref="A28:A39"/>
    <mergeCell ref="B28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pane ySplit="1" topLeftCell="A2" activePane="bottomLeft" state="frozen"/>
      <selection pane="bottomLeft" activeCell="L14" sqref="L14"/>
    </sheetView>
  </sheetViews>
  <sheetFormatPr defaultRowHeight="14.25" x14ac:dyDescent="0.45"/>
  <cols>
    <col min="4" max="4" width="15.86328125" customWidth="1"/>
    <col min="5" max="5" width="18" customWidth="1"/>
  </cols>
  <sheetData>
    <row r="1" spans="1:10" x14ac:dyDescent="0.45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4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45">
      <c r="A2" s="3" t="s">
        <v>43</v>
      </c>
      <c r="B2" s="3" t="s">
        <v>44</v>
      </c>
      <c r="C2">
        <v>1</v>
      </c>
      <c r="D2">
        <v>702273.10278025956</v>
      </c>
      <c r="E2">
        <v>200649.45793721569</v>
      </c>
      <c r="F2">
        <v>412547.79370278359</v>
      </c>
      <c r="G2">
        <v>25931.839999999989</v>
      </c>
      <c r="H2">
        <f>D2/$G$2</f>
        <v>27.081499144690845</v>
      </c>
      <c r="I2">
        <f>E2/$G$2</f>
        <v>7.7375711841973329</v>
      </c>
      <c r="J2">
        <f>F2/$G$2</f>
        <v>15.908928703199763</v>
      </c>
    </row>
    <row r="3" spans="1:10" x14ac:dyDescent="0.45">
      <c r="A3" s="3"/>
      <c r="B3" s="3"/>
      <c r="C3">
        <v>2</v>
      </c>
      <c r="D3">
        <v>634311.18960802222</v>
      </c>
      <c r="E3">
        <v>181231.76845941949</v>
      </c>
      <c r="F3">
        <v>391408.99380635878</v>
      </c>
      <c r="H3">
        <f t="shared" ref="H3:H13" si="0">D3/$G$2</f>
        <v>24.460708904883823</v>
      </c>
      <c r="I3">
        <f t="shared" ref="I3:I13" si="1">E3/$G$2</f>
        <v>6.9887739728233536</v>
      </c>
      <c r="J3">
        <f t="shared" ref="J3:J13" si="2">F3/$G$2</f>
        <v>15.093760944320145</v>
      </c>
    </row>
    <row r="4" spans="1:10" x14ac:dyDescent="0.45">
      <c r="A4" s="3"/>
      <c r="B4" s="3"/>
      <c r="C4">
        <v>3</v>
      </c>
      <c r="D4">
        <v>702273.10278025852</v>
      </c>
      <c r="E4">
        <v>200649.4579372161</v>
      </c>
      <c r="F4">
        <v>468213.02024556248</v>
      </c>
      <c r="H4">
        <f t="shared" si="0"/>
        <v>27.081499144690806</v>
      </c>
      <c r="I4">
        <f t="shared" si="1"/>
        <v>7.7375711841973489</v>
      </c>
      <c r="J4">
        <f t="shared" si="2"/>
        <v>18.055526343119602</v>
      </c>
    </row>
    <row r="5" spans="1:10" x14ac:dyDescent="0.45">
      <c r="A5" s="3"/>
      <c r="B5" s="3"/>
      <c r="C5">
        <v>4</v>
      </c>
      <c r="D5">
        <v>679619.13172284618</v>
      </c>
      <c r="E5">
        <v>194176.89477795071</v>
      </c>
      <c r="F5">
        <v>478968.60644541611</v>
      </c>
      <c r="H5">
        <f t="shared" si="0"/>
        <v>26.207902398088468</v>
      </c>
      <c r="I5">
        <f t="shared" si="1"/>
        <v>7.4879721137393567</v>
      </c>
      <c r="J5">
        <f t="shared" si="2"/>
        <v>18.470290054443353</v>
      </c>
    </row>
    <row r="6" spans="1:10" x14ac:dyDescent="0.45">
      <c r="A6" s="3"/>
      <c r="B6" s="3"/>
      <c r="C6">
        <v>5</v>
      </c>
      <c r="D6">
        <v>702273.10278025863</v>
      </c>
      <c r="E6">
        <v>200649.4579372161</v>
      </c>
      <c r="F6">
        <v>533779.22122199601</v>
      </c>
      <c r="H6">
        <f t="shared" si="0"/>
        <v>27.08149914469081</v>
      </c>
      <c r="I6">
        <f t="shared" si="1"/>
        <v>7.7375711841973489</v>
      </c>
      <c r="J6">
        <f t="shared" si="2"/>
        <v>20.583931615419353</v>
      </c>
    </row>
    <row r="7" spans="1:10" x14ac:dyDescent="0.45">
      <c r="A7" s="3"/>
      <c r="B7" s="3"/>
      <c r="C7">
        <v>6</v>
      </c>
      <c r="D7">
        <v>679619.13172284618</v>
      </c>
      <c r="E7">
        <v>194176.89477795071</v>
      </c>
      <c r="F7">
        <v>513024.31136166339</v>
      </c>
      <c r="H7">
        <f t="shared" si="0"/>
        <v>26.207902398088468</v>
      </c>
      <c r="I7">
        <f t="shared" si="1"/>
        <v>7.4879721137393567</v>
      </c>
      <c r="J7">
        <f t="shared" si="2"/>
        <v>19.783567666685574</v>
      </c>
    </row>
    <row r="8" spans="1:10" x14ac:dyDescent="0.45">
      <c r="A8" s="3"/>
      <c r="B8" s="3"/>
      <c r="C8">
        <v>7</v>
      </c>
      <c r="D8">
        <v>702273.10278025863</v>
      </c>
      <c r="E8">
        <v>200649.4579372161</v>
      </c>
      <c r="F8">
        <v>531598.2786623881</v>
      </c>
      <c r="H8">
        <f t="shared" si="0"/>
        <v>27.08149914469081</v>
      </c>
      <c r="I8">
        <f t="shared" si="1"/>
        <v>7.7375711841973489</v>
      </c>
      <c r="J8">
        <f t="shared" si="2"/>
        <v>20.499828730332606</v>
      </c>
    </row>
    <row r="9" spans="1:10" x14ac:dyDescent="0.45">
      <c r="A9" s="3"/>
      <c r="B9" s="3"/>
      <c r="C9">
        <v>8</v>
      </c>
      <c r="D9">
        <v>702273.10278025863</v>
      </c>
      <c r="E9">
        <v>200649.4579372161</v>
      </c>
      <c r="F9">
        <v>485834.23344178312</v>
      </c>
      <c r="H9">
        <f t="shared" si="0"/>
        <v>27.08149914469081</v>
      </c>
      <c r="I9">
        <f t="shared" si="1"/>
        <v>7.7375711841973489</v>
      </c>
      <c r="J9">
        <f t="shared" si="2"/>
        <v>18.735046700958485</v>
      </c>
    </row>
    <row r="10" spans="1:10" x14ac:dyDescent="0.45">
      <c r="A10" s="3"/>
      <c r="B10" s="3"/>
      <c r="C10">
        <v>9</v>
      </c>
      <c r="D10">
        <v>679619.13172284618</v>
      </c>
      <c r="E10">
        <v>194176.89477795071</v>
      </c>
      <c r="F10">
        <v>460904.99075377162</v>
      </c>
      <c r="H10">
        <f t="shared" si="0"/>
        <v>26.207902398088468</v>
      </c>
      <c r="I10">
        <f t="shared" si="1"/>
        <v>7.4879721137393567</v>
      </c>
      <c r="J10">
        <f t="shared" si="2"/>
        <v>17.773709492028789</v>
      </c>
    </row>
    <row r="11" spans="1:10" x14ac:dyDescent="0.45">
      <c r="A11" s="3"/>
      <c r="B11" s="3"/>
      <c r="C11">
        <v>10</v>
      </c>
      <c r="D11">
        <v>702273.10278025863</v>
      </c>
      <c r="E11">
        <v>200649.4579372161</v>
      </c>
      <c r="F11">
        <v>489621.29766192578</v>
      </c>
      <c r="H11">
        <f t="shared" si="0"/>
        <v>27.08149914469081</v>
      </c>
      <c r="I11">
        <f t="shared" si="1"/>
        <v>7.7375711841973489</v>
      </c>
      <c r="J11">
        <f t="shared" si="2"/>
        <v>18.881085864401676</v>
      </c>
    </row>
    <row r="12" spans="1:10" x14ac:dyDescent="0.45">
      <c r="A12" s="3"/>
      <c r="B12" s="3"/>
      <c r="C12">
        <v>11</v>
      </c>
      <c r="D12">
        <v>679619.131722847</v>
      </c>
      <c r="E12">
        <v>194176.89477795031</v>
      </c>
      <c r="F12">
        <v>464321.0015662504</v>
      </c>
      <c r="H12">
        <f t="shared" si="0"/>
        <v>26.2079023980885</v>
      </c>
      <c r="I12">
        <f t="shared" si="1"/>
        <v>7.4879721137393407</v>
      </c>
      <c r="J12">
        <f t="shared" si="2"/>
        <v>17.905439859502859</v>
      </c>
    </row>
    <row r="13" spans="1:10" x14ac:dyDescent="0.45">
      <c r="A13" s="3"/>
      <c r="B13" s="3"/>
      <c r="C13">
        <v>12</v>
      </c>
      <c r="D13">
        <v>702273.10278025956</v>
      </c>
      <c r="E13">
        <v>200649.45793721569</v>
      </c>
      <c r="F13">
        <v>438460.21612592333</v>
      </c>
      <c r="H13">
        <f t="shared" si="0"/>
        <v>27.081499144690845</v>
      </c>
      <c r="I13">
        <f t="shared" si="1"/>
        <v>7.7375711841973329</v>
      </c>
      <c r="J13">
        <f t="shared" si="2"/>
        <v>16.908179910331217</v>
      </c>
    </row>
    <row r="14" spans="1:10" s="1" customFormat="1" x14ac:dyDescent="0.45">
      <c r="A14" s="1" t="s">
        <v>3</v>
      </c>
      <c r="D14" s="1">
        <f t="shared" ref="D14:F14" si="3">SUM(D2:D13)</f>
        <v>8268699.4359612186</v>
      </c>
      <c r="E14" s="1">
        <f t="shared" si="3"/>
        <v>2362485.553131734</v>
      </c>
      <c r="F14" s="1">
        <f t="shared" si="3"/>
        <v>5668681.9649958229</v>
      </c>
    </row>
  </sheetData>
  <mergeCells count="2">
    <mergeCell ref="A2:A13"/>
    <mergeCell ref="B2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A1_L_L</vt:lpstr>
      <vt:lpstr>A1_M_L</vt:lpstr>
      <vt:lpstr>A1_H_L</vt:lpstr>
      <vt:lpstr>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Jin Yi James</cp:lastModifiedBy>
  <dcterms:created xsi:type="dcterms:W3CDTF">2026-05-18T06:54:28Z</dcterms:created>
  <dcterms:modified xsi:type="dcterms:W3CDTF">2026-05-25T13:09:52Z</dcterms:modified>
</cp:coreProperties>
</file>